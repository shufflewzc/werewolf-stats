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W100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6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2" customWidth="1"/>
    <col min="13" max="13" width="10" customWidth="1"/>
    <col min="14" max="14" width="12" customWidth="1"/>
    <col min="15" max="15" width="10" customWidth="1"/>
    <col min="16" max="16" width="12" customWidth="1"/>
    <col min="17" max="17" width="10" customWidth="1"/>
    <col min="18" max="18" width="11" customWidth="1"/>
    <col min="19" max="19" width="17" customWidth="1"/>
    <col min="20" max="20" width="10" customWidth="1"/>
    <col min="21" max="21" width="10" customWidth="1"/>
    <col min="22" max="22" width="10" customWidth="1"/>
    <col min="23" max="23" width="10" customWidth="1"/>
  </cols>
  <sheetData>
    <row r="1">
      <c r="A1" s="1" t="inlineStr">
        <is>
          <t xml:space="preserve">座位号</t>
        </is>
      </c>
      <c r="B1" s="1" t="inlineStr">
        <is>
          <t xml:space="preserve">战队名</t>
        </is>
      </c>
      <c r="C1" s="1" t="inlineStr">
        <is>
          <t xml:space="preserve">选手</t>
        </is>
      </c>
      <c r="D1" s="1" t="inlineStr">
        <is>
          <t xml:space="preserve">局号</t>
        </is>
      </c>
      <c r="E1" s="1" t="inlineStr">
        <is>
          <t xml:space="preserve">身份</t>
        </is>
      </c>
      <c r="F1" s="1" t="inlineStr">
        <is>
          <t xml:space="preserve">胜负分</t>
        </is>
      </c>
      <c r="G1" s="1" t="inlineStr">
        <is>
          <t xml:space="preserve">投票分</t>
        </is>
      </c>
      <c r="H1" s="1" t="inlineStr">
        <is>
          <t xml:space="preserve">行为分</t>
        </is>
      </c>
      <c r="I1" s="1" t="inlineStr">
        <is>
          <t xml:space="preserve">特殊分</t>
        </is>
      </c>
      <c r="J1" s="1" t="inlineStr">
        <is>
          <t xml:space="preserve">违规分</t>
        </is>
      </c>
      <c r="K1" s="1" t="inlineStr">
        <is>
          <t xml:space="preserve">单局积分</t>
        </is>
      </c>
      <c r="L1" s="1" t="inlineStr">
        <is>
          <t xml:space="preserve">阵营</t>
        </is>
      </c>
      <c r="M1" s="1" t="inlineStr">
        <is>
          <t xml:space="preserve">结果</t>
        </is>
      </c>
      <c r="N1" s="1" t="inlineStr">
        <is>
          <t xml:space="preserve">赛事名称</t>
        </is>
      </c>
      <c r="O1" s="1" t="inlineStr">
        <is>
          <t xml:space="preserve">赛季</t>
        </is>
      </c>
      <c r="P1" s="1" t="inlineStr">
        <is>
          <t xml:space="preserve">日期</t>
        </is>
      </c>
      <c r="Q1" s="1" t="inlineStr">
        <is>
          <t xml:space="preserve">板型</t>
        </is>
      </c>
      <c r="R1" s="1" t="inlineStr">
        <is>
          <t xml:space="preserve">胜利阵营</t>
        </is>
      </c>
      <c r="S1" s="1" t="inlineStr">
        <is>
          <t xml:space="preserve">积分模型</t>
        </is>
      </c>
      <c r="T1" s="1" t="inlineStr">
        <is>
          <t xml:space="preserve">MVP</t>
        </is>
      </c>
      <c r="U1" s="1" t="inlineStr">
        <is>
          <t xml:space="preserve">SVP</t>
        </is>
      </c>
      <c r="V1" s="1" t="inlineStr">
        <is>
          <t xml:space="preserve">背锅</t>
        </is>
      </c>
      <c r="W1" s="1" t="inlineStr">
        <is>
          <t xml:space="preserve">备注</t>
        </is>
      </c>
    </row>
    <row r="2">
      <c r="A2" s="0">
        <v>1</v>
      </c>
      <c r="B2" s="0" t="inlineStr">
        <is>
          <t xml:space="preserve">罗生门</t>
        </is>
      </c>
      <c r="C2" s="0" t="inlineStr">
        <is>
          <t xml:space="preserve">悟空</t>
        </is>
      </c>
      <c r="D2" s="0" t="inlineStr">
        <is>
          <t xml:space="preserve">gz-s-260410-01</t>
        </is>
      </c>
      <c r="E2" s="0" t="inlineStr">
        <is>
          <t xml:space="preserve">预言家</t>
        </is>
      </c>
      <c r="F2" s="0">
        <v>5</v>
      </c>
      <c r="G2" s="0">
        <v>0.5</v>
      </c>
      <c r="H2" s="0">
        <v>0</v>
      </c>
      <c r="I2" s="0">
        <v>0</v>
      </c>
      <c r="J2" s="0">
        <v>0</v>
      </c>
      <c r="K2" s="0">
        <v>5.5</v>
      </c>
      <c r="L2" s="0" t="str">
        <f>IF(E2="","",IF(OR(ISNUMBER(SEARCH("狼",E2)),ISNUMBER(SEARCH("石像鬼",E2)),ISNUMBER(SEARCH("恶灵骑士",E2)),ISNUMBER(SEARCH("黑蝙蝠",E2)),ISNUMBER(SEARCH("血月使徒",E2))),"werewolves","villagers"))</f>
        <v>villagers</v>
      </c>
      <c r="M2" s="0" t="str">
        <f>IF(F2="","",IF(ROUND(F2,2)=5,"win","loss"))</f>
        <v>win</v>
      </c>
      <c r="N2" s="0" t="inlineStr">
        <is>
          <t xml:space="preserve">京城大师赛广州公开赛</t>
        </is>
      </c>
      <c r="O2" s="0" t="inlineStr">
        <is>
          <t xml:space="preserve">2026春季联赛</t>
        </is>
      </c>
      <c r="P2" s="0" t="inlineStr">
        <is>
          <t xml:space="preserve">2026-04-10</t>
        </is>
      </c>
      <c r="Q2" s="0" t="inlineStr">
        <is>
          <t xml:space="preserve">经典十二人局</t>
        </is>
      </c>
      <c r="R2" s="0" t="str">
        <f>IF(D2="","",IFERROR(LOOKUP(2,1/(($D$2:$D$1001=D2)*($M$2:$M$1001="win")),$L$2:$L$1001),""))</f>
        <v>villagers</v>
      </c>
      <c r="S2" s="0" t="inlineStr">
        <is>
          <t xml:space="preserve">jingcheng_daily</t>
        </is>
      </c>
      <c r="T2" s="0" t="inlineStr">
        <is>
          <t xml:space="preserve">是</t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</row>
    <row r="3">
      <c r="A3" s="0">
        <v>2</v>
      </c>
      <c r="B3" s="0" t="inlineStr">
        <is>
          <t xml:space="preserve">颜杀</t>
        </is>
      </c>
      <c r="C3" s="0" t="inlineStr">
        <is>
          <t xml:space="preserve">宇白</t>
        </is>
      </c>
      <c r="D3" s="0" t="inlineStr">
        <is>
          <t xml:space="preserve">gz-s-260410-01</t>
        </is>
      </c>
      <c r="E3" s="0" t="inlineStr">
        <is>
          <t xml:space="preserve">女巫</t>
        </is>
      </c>
      <c r="F3" s="0">
        <v>5</v>
      </c>
      <c r="G3" s="0">
        <v>0</v>
      </c>
      <c r="H3" s="0">
        <v>0.5</v>
      </c>
      <c r="I3" s="0">
        <v>0</v>
      </c>
      <c r="J3" s="0">
        <v>0</v>
      </c>
      <c r="K3" s="0">
        <v>5.5</v>
      </c>
      <c r="L3" s="0" t="str">
        <f>IF(E3="","",IF(OR(ISNUMBER(SEARCH("狼",E3)),ISNUMBER(SEARCH("石像鬼",E3)),ISNUMBER(SEARCH("恶灵骑士",E3)),ISNUMBER(SEARCH("黑蝙蝠",E3)),ISNUMBER(SEARCH("血月使徒",E3))),"werewolves","villagers"))</f>
        <v>villagers</v>
      </c>
      <c r="M3" s="0" t="str">
        <f>IF(F3="","",IF(ROUND(F3,2)=5,"win","loss"))</f>
        <v>win</v>
      </c>
      <c r="N3" s="0" t="inlineStr">
        <is>
          <t xml:space="preserve">京城大师赛广州公开赛</t>
        </is>
      </c>
      <c r="O3" s="0" t="inlineStr">
        <is>
          <t xml:space="preserve">2026春季联赛</t>
        </is>
      </c>
      <c r="P3" s="0" t="inlineStr">
        <is>
          <t xml:space="preserve">2026-04-10</t>
        </is>
      </c>
      <c r="Q3" s="0" t="inlineStr">
        <is>
          <t xml:space="preserve">经典十二人局</t>
        </is>
      </c>
      <c r="R3" s="0" t="str">
        <f>IF(D3="","",IFERROR(LOOKUP(2,1/(($D$2:$D$1001=D3)*($M$2:$M$1001="win")),$L$2:$L$1001),""))</f>
        <v>villagers</v>
      </c>
      <c r="S3" s="0" t="inlineStr">
        <is>
          <t xml:space="preserve">jingcheng_daily</t>
        </is>
      </c>
      <c r="T3" s="0" t="inlineStr">
        <is>
          <t xml:space="preserve"/>
        </is>
      </c>
      <c r="U3" s="0" t="inlineStr">
        <is>
          <t xml:space="preserve">是</t>
        </is>
      </c>
      <c r="V3" s="0" t="inlineStr">
        <is>
          <t xml:space="preserve"/>
        </is>
      </c>
      <c r="W3" s="0" t="inlineStr">
        <is>
          <t xml:space="preserve"/>
        </is>
      </c>
    </row>
    <row r="4">
      <c r="A4" s="0">
        <v>3</v>
      </c>
      <c r="B4" s="0" t="inlineStr">
        <is>
          <t xml:space="preserve">玛卡巴卡</t>
        </is>
      </c>
      <c r="C4" s="0" t="inlineStr">
        <is>
          <t xml:space="preserve">铁柱伦</t>
        </is>
      </c>
      <c r="D4" s="0" t="inlineStr">
        <is>
          <t xml:space="preserve">gz-s-260410-01</t>
        </is>
      </c>
      <c r="E4" s="0" t="inlineStr">
        <is>
          <t xml:space="preserve">狼人</t>
        </is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 t="str">
        <f>IF(E4="","",IF(OR(ISNUMBER(SEARCH("狼",E4)),ISNUMBER(SEARCH("石像鬼",E4)),ISNUMBER(SEARCH("恶灵骑士",E4)),ISNUMBER(SEARCH("黑蝙蝠",E4)),ISNUMBER(SEARCH("血月使徒",E4))),"werewolves","villagers"))</f>
        <v>werewolves</v>
      </c>
      <c r="M4" s="0" t="str">
        <f>IF(F4="","",IF(ROUND(F4,2)=5,"win","loss"))</f>
        <v>loss</v>
      </c>
      <c r="N4" s="0" t="inlineStr">
        <is>
          <t xml:space="preserve">京城大师赛广州公开赛</t>
        </is>
      </c>
      <c r="O4" s="0" t="inlineStr">
        <is>
          <t xml:space="preserve">2026春季联赛</t>
        </is>
      </c>
      <c r="P4" s="0" t="inlineStr">
        <is>
          <t xml:space="preserve">2026-04-10</t>
        </is>
      </c>
      <c r="Q4" s="0" t="inlineStr">
        <is>
          <t xml:space="preserve">经典十二人局</t>
        </is>
      </c>
      <c r="R4" s="0" t="str">
        <f>IF(D4="","",IFERROR(LOOKUP(2,1/(($D$2:$D$1001=D4)*($M$2:$M$1001="win")),$L$2:$L$1001),""))</f>
        <v>villagers</v>
      </c>
      <c r="S4" s="0" t="inlineStr">
        <is>
          <t xml:space="preserve">jingcheng_daily</t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>
        <f>IF(E5="","",IF(OR(ISNUMBER(SEARCH("狼",E5)),ISNUMBER(SEARCH("石像鬼",E5)),ISNUMBER(SEARCH("恶灵骑士",E5)),ISNUMBER(SEARCH("黑蝙蝠",E5)),ISNUMBER(SEARCH("血月使徒",E5))),"werewolves","villagers"))</f>
      </c>
      <c r="M5" s="0">
        <f>IF(F5="","",IF(ROUND(F5,2)=5,"win","loss"))</f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>
        <f>IF(D5="","",IFERROR(LOOKUP(2,1/(($D$2:$D$1001=D5)*($M$2:$M$1001="win")),$L$2:$L$1001),""))</f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>
        <f>IF(E6="","",IF(OR(ISNUMBER(SEARCH("狼",E6)),ISNUMBER(SEARCH("石像鬼",E6)),ISNUMBER(SEARCH("恶灵骑士",E6)),ISNUMBER(SEARCH("黑蝙蝠",E6)),ISNUMBER(SEARCH("血月使徒",E6))),"werewolves","villagers"))</f>
      </c>
      <c r="M6" s="0">
        <f>IF(F6="","",IF(ROUND(F6,2)=5,"win","loss"))</f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>
        <f>IF(D6="","",IFERROR(LOOKUP(2,1/(($D$2:$D$1001=D6)*($M$2:$M$1001="win")),$L$2:$L$1001),""))</f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>
        <f>IF(E7="","",IF(OR(ISNUMBER(SEARCH("狼",E7)),ISNUMBER(SEARCH("石像鬼",E7)),ISNUMBER(SEARCH("恶灵骑士",E7)),ISNUMBER(SEARCH("黑蝙蝠",E7)),ISNUMBER(SEARCH("血月使徒",E7))),"werewolves","villagers"))</f>
      </c>
      <c r="M7" s="0">
        <f>IF(F7="","",IF(ROUND(F7,2)=5,"win","loss"))</f>
      </c>
      <c r="N7" s="0" t="inlineStr">
        <is>
          <t xml:space="preserve"/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  <c r="R7" s="0">
        <f>IF(D7="","",IFERROR(LOOKUP(2,1/(($D$2:$D$1001=D7)*($M$2:$M$1001="win")),$L$2:$L$1001),""))</f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>
        <f>IF(E8="","",IF(OR(ISNUMBER(SEARCH("狼",E8)),ISNUMBER(SEARCH("石像鬼",E8)),ISNUMBER(SEARCH("恶灵骑士",E8)),ISNUMBER(SEARCH("黑蝙蝠",E8)),ISNUMBER(SEARCH("血月使徒",E8))),"werewolves","villagers"))</f>
      </c>
      <c r="M8" s="0">
        <f>IF(F8="","",IF(ROUND(F8,2)=5,"win","loss"))</f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>
        <f>IF(D8="","",IFERROR(LOOKUP(2,1/(($D$2:$D$1001=D8)*($M$2:$M$1001="win")),$L$2:$L$1001),""))</f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>
        <f>IF(E9="","",IF(OR(ISNUMBER(SEARCH("狼",E9)),ISNUMBER(SEARCH("石像鬼",E9)),ISNUMBER(SEARCH("恶灵骑士",E9)),ISNUMBER(SEARCH("黑蝙蝠",E9)),ISNUMBER(SEARCH("血月使徒",E9))),"werewolves","villagers"))</f>
      </c>
      <c r="M9" s="0">
        <f>IF(F9="","",IF(ROUND(F9,2)=5,"win","loss"))</f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>
        <f>IF(D9="","",IFERROR(LOOKUP(2,1/(($D$2:$D$1001=D9)*($M$2:$M$1001="win")),$L$2:$L$1001),""))</f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>
        <f>IF(E10="","",IF(OR(ISNUMBER(SEARCH("狼",E10)),ISNUMBER(SEARCH("石像鬼",E10)),ISNUMBER(SEARCH("恶灵骑士",E10)),ISNUMBER(SEARCH("黑蝙蝠",E10)),ISNUMBER(SEARCH("血月使徒",E10))),"werewolves","villagers"))</f>
      </c>
      <c r="M10" s="0">
        <f>IF(F10="","",IF(ROUND(F10,2)=5,"win","loss"))</f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>
        <f>IF(D10="","",IFERROR(LOOKUP(2,1/(($D$2:$D$1001=D10)*($M$2:$M$1001="win")),$L$2:$L$1001),""))</f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>
        <f>IF(E11="","",IF(OR(ISNUMBER(SEARCH("狼",E11)),ISNUMBER(SEARCH("石像鬼",E11)),ISNUMBER(SEARCH("恶灵骑士",E11)),ISNUMBER(SEARCH("黑蝙蝠",E11)),ISNUMBER(SEARCH("血月使徒",E11))),"werewolves","villagers"))</f>
      </c>
      <c r="M11" s="0">
        <f>IF(F11="","",IF(ROUND(F11,2)=5,"win","loss"))</f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>
        <f>IF(D11="","",IFERROR(LOOKUP(2,1/(($D$2:$D$1001=D11)*($M$2:$M$1001="win")),$L$2:$L$1001),""))</f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>
        <f>IF(E12="","",IF(OR(ISNUMBER(SEARCH("狼",E12)),ISNUMBER(SEARCH("石像鬼",E12)),ISNUMBER(SEARCH("恶灵骑士",E12)),ISNUMBER(SEARCH("黑蝙蝠",E12)),ISNUMBER(SEARCH("血月使徒",E12))),"werewolves","villagers"))</f>
      </c>
      <c r="M12" s="0">
        <f>IF(F12="","",IF(ROUND(F12,2)=5,"win","loss"))</f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>
        <f>IF(D12="","",IFERROR(LOOKUP(2,1/(($D$2:$D$1001=D12)*($M$2:$M$1001="win")),$L$2:$L$1001),""))</f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>
        <f>IF(E13="","",IF(OR(ISNUMBER(SEARCH("狼",E13)),ISNUMBER(SEARCH("石像鬼",E13)),ISNUMBER(SEARCH("恶灵骑士",E13)),ISNUMBER(SEARCH("黑蝙蝠",E13)),ISNUMBER(SEARCH("血月使徒",E13))),"werewolves","villagers"))</f>
      </c>
      <c r="M13" s="0">
        <f>IF(F13="","",IF(ROUND(F13,2)=5,"win","loss"))</f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>
        <f>IF(D13="","",IFERROR(LOOKUP(2,1/(($D$2:$D$1001=D13)*($M$2:$M$1001="win")),$L$2:$L$1001),""))</f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>
        <f>IF(E14="","",IF(OR(ISNUMBER(SEARCH("狼",E14)),ISNUMBER(SEARCH("石像鬼",E14)),ISNUMBER(SEARCH("恶灵骑士",E14)),ISNUMBER(SEARCH("黑蝙蝠",E14)),ISNUMBER(SEARCH("血月使徒",E14))),"werewolves","villagers"))</f>
      </c>
      <c r="M14" s="0">
        <f>IF(F14="","",IF(ROUND(F14,2)=5,"win","loss"))</f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>
        <f>IF(D14="","",IFERROR(LOOKUP(2,1/(($D$2:$D$1001=D14)*($M$2:$M$1001="win")),$L$2:$L$1001),""))</f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>
        <f>IF(E15="","",IF(OR(ISNUMBER(SEARCH("狼",E15)),ISNUMBER(SEARCH("石像鬼",E15)),ISNUMBER(SEARCH("恶灵骑士",E15)),ISNUMBER(SEARCH("黑蝙蝠",E15)),ISNUMBER(SEARCH("血月使徒",E15))),"werewolves","villagers"))</f>
      </c>
      <c r="M15" s="0">
        <f>IF(F15="","",IF(ROUND(F15,2)=5,"win","loss"))</f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>
        <f>IF(D15="","",IFERROR(LOOKUP(2,1/(($D$2:$D$1001=D15)*($M$2:$M$1001="win")),$L$2:$L$1001),""))</f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>
        <f>IF(E16="","",IF(OR(ISNUMBER(SEARCH("狼",E16)),ISNUMBER(SEARCH("石像鬼",E16)),ISNUMBER(SEARCH("恶灵骑士",E16)),ISNUMBER(SEARCH("黑蝙蝠",E16)),ISNUMBER(SEARCH("血月使徒",E16))),"werewolves","villagers"))</f>
      </c>
      <c r="M16" s="0">
        <f>IF(F16="","",IF(ROUND(F16,2)=5,"win","loss"))</f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>
        <f>IF(D16="","",IFERROR(LOOKUP(2,1/(($D$2:$D$1001=D16)*($M$2:$M$1001="win")),$L$2:$L$1001),""))</f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>
        <f>IF(E17="","",IF(OR(ISNUMBER(SEARCH("狼",E17)),ISNUMBER(SEARCH("石像鬼",E17)),ISNUMBER(SEARCH("恶灵骑士",E17)),ISNUMBER(SEARCH("黑蝙蝠",E17)),ISNUMBER(SEARCH("血月使徒",E17))),"werewolves","villagers"))</f>
      </c>
      <c r="M17" s="0">
        <f>IF(F17="","",IF(ROUND(F17,2)=5,"win","loss"))</f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>
        <f>IF(D17="","",IFERROR(LOOKUP(2,1/(($D$2:$D$1001=D17)*($M$2:$M$1001="win")),$L$2:$L$1001),""))</f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>
        <f>IF(E18="","",IF(OR(ISNUMBER(SEARCH("狼",E18)),ISNUMBER(SEARCH("石像鬼",E18)),ISNUMBER(SEARCH("恶灵骑士",E18)),ISNUMBER(SEARCH("黑蝙蝠",E18)),ISNUMBER(SEARCH("血月使徒",E18))),"werewolves","villagers"))</f>
      </c>
      <c r="M18" s="0">
        <f>IF(F18="","",IF(ROUND(F18,2)=5,"win","loss"))</f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>
        <f>IF(D18="","",IFERROR(LOOKUP(2,1/(($D$2:$D$1001=D18)*($M$2:$M$1001="win")),$L$2:$L$1001),""))</f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>
        <f>IF(E19="","",IF(OR(ISNUMBER(SEARCH("狼",E19)),ISNUMBER(SEARCH("石像鬼",E19)),ISNUMBER(SEARCH("恶灵骑士",E19)),ISNUMBER(SEARCH("黑蝙蝠",E19)),ISNUMBER(SEARCH("血月使徒",E19))),"werewolves","villagers"))</f>
      </c>
      <c r="M19" s="0">
        <f>IF(F19="","",IF(ROUND(F19,2)=5,"win","loss"))</f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>
        <f>IF(D19="","",IFERROR(LOOKUP(2,1/(($D$2:$D$1001=D19)*($M$2:$M$1001="win")),$L$2:$L$1001),""))</f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>
        <f>IF(E20="","",IF(OR(ISNUMBER(SEARCH("狼",E20)),ISNUMBER(SEARCH("石像鬼",E20)),ISNUMBER(SEARCH("恶灵骑士",E20)),ISNUMBER(SEARCH("黑蝙蝠",E20)),ISNUMBER(SEARCH("血月使徒",E20))),"werewolves","villagers"))</f>
      </c>
      <c r="M20" s="0">
        <f>IF(F20="","",IF(ROUND(F20,2)=5,"win","loss"))</f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>
        <f>IF(D20="","",IFERROR(LOOKUP(2,1/(($D$2:$D$1001=D20)*($M$2:$M$1001="win")),$L$2:$L$1001),""))</f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>
        <f>IF(E21="","",IF(OR(ISNUMBER(SEARCH("狼",E21)),ISNUMBER(SEARCH("石像鬼",E21)),ISNUMBER(SEARCH("恶灵骑士",E21)),ISNUMBER(SEARCH("黑蝙蝠",E21)),ISNUMBER(SEARCH("血月使徒",E21))),"werewolves","villagers"))</f>
      </c>
      <c r="M21" s="0">
        <f>IF(F21="","",IF(ROUND(F21,2)=5,"win","loss"))</f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>
        <f>IF(D21="","",IFERROR(LOOKUP(2,1/(($D$2:$D$1001=D21)*($M$2:$M$1001="win")),$L$2:$L$1001),""))</f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>
        <f>IF(E22="","",IF(OR(ISNUMBER(SEARCH("狼",E22)),ISNUMBER(SEARCH("石像鬼",E22)),ISNUMBER(SEARCH("恶灵骑士",E22)),ISNUMBER(SEARCH("黑蝙蝠",E22)),ISNUMBER(SEARCH("血月使徒",E22))),"werewolves","villagers"))</f>
      </c>
      <c r="M22" s="0">
        <f>IF(F22="","",IF(ROUND(F22,2)=5,"win","loss"))</f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>
        <f>IF(D22="","",IFERROR(LOOKUP(2,1/(($D$2:$D$1001=D22)*($M$2:$M$1001="win")),$L$2:$L$1001),""))</f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>
        <f>IF(E23="","",IF(OR(ISNUMBER(SEARCH("狼",E23)),ISNUMBER(SEARCH("石像鬼",E23)),ISNUMBER(SEARCH("恶灵骑士",E23)),ISNUMBER(SEARCH("黑蝙蝠",E23)),ISNUMBER(SEARCH("血月使徒",E23))),"werewolves","villagers"))</f>
      </c>
      <c r="M23" s="0">
        <f>IF(F23="","",IF(ROUND(F23,2)=5,"win","loss"))</f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>
        <f>IF(D23="","",IFERROR(LOOKUP(2,1/(($D$2:$D$1001=D23)*($M$2:$M$1001="win")),$L$2:$L$1001),""))</f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>
        <f>IF(E24="","",IF(OR(ISNUMBER(SEARCH("狼",E24)),ISNUMBER(SEARCH("石像鬼",E24)),ISNUMBER(SEARCH("恶灵骑士",E24)),ISNUMBER(SEARCH("黑蝙蝠",E24)),ISNUMBER(SEARCH("血月使徒",E24))),"werewolves","villagers"))</f>
      </c>
      <c r="M24" s="0">
        <f>IF(F24="","",IF(ROUND(F24,2)=5,"win","loss"))</f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>
        <f>IF(D24="","",IFERROR(LOOKUP(2,1/(($D$2:$D$1001=D24)*($M$2:$M$1001="win")),$L$2:$L$1001),""))</f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>
        <f>IF(E25="","",IF(OR(ISNUMBER(SEARCH("狼",E25)),ISNUMBER(SEARCH("石像鬼",E25)),ISNUMBER(SEARCH("恶灵骑士",E25)),ISNUMBER(SEARCH("黑蝙蝠",E25)),ISNUMBER(SEARCH("血月使徒",E25))),"werewolves","villagers"))</f>
      </c>
      <c r="M25" s="0">
        <f>IF(F25="","",IF(ROUND(F25,2)=5,"win","loss"))</f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>
        <f>IF(D25="","",IFERROR(LOOKUP(2,1/(($D$2:$D$1001=D25)*($M$2:$M$1001="win")),$L$2:$L$1001),""))</f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>
        <f>IF(E26="","",IF(OR(ISNUMBER(SEARCH("狼",E26)),ISNUMBER(SEARCH("石像鬼",E26)),ISNUMBER(SEARCH("恶灵骑士",E26)),ISNUMBER(SEARCH("黑蝙蝠",E26)),ISNUMBER(SEARCH("血月使徒",E26))),"werewolves","villagers"))</f>
      </c>
      <c r="M26" s="0">
        <f>IF(F26="","",IF(ROUND(F26,2)=5,"win","loss"))</f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>
        <f>IF(D26="","",IFERROR(LOOKUP(2,1/(($D$2:$D$1001=D26)*($M$2:$M$1001="win")),$L$2:$L$1001),""))</f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>
        <f>IF(E27="","",IF(OR(ISNUMBER(SEARCH("狼",E27)),ISNUMBER(SEARCH("石像鬼",E27)),ISNUMBER(SEARCH("恶灵骑士",E27)),ISNUMBER(SEARCH("黑蝙蝠",E27)),ISNUMBER(SEARCH("血月使徒",E27))),"werewolves","villagers"))</f>
      </c>
      <c r="M27" s="0">
        <f>IF(F27="","",IF(ROUND(F27,2)=5,"win","loss"))</f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>
        <f>IF(D27="","",IFERROR(LOOKUP(2,1/(($D$2:$D$1001=D27)*($M$2:$M$1001="win")),$L$2:$L$1001),""))</f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>
        <f>IF(E28="","",IF(OR(ISNUMBER(SEARCH("狼",E28)),ISNUMBER(SEARCH("石像鬼",E28)),ISNUMBER(SEARCH("恶灵骑士",E28)),ISNUMBER(SEARCH("黑蝙蝠",E28)),ISNUMBER(SEARCH("血月使徒",E28))),"werewolves","villagers"))</f>
      </c>
      <c r="M28" s="0">
        <f>IF(F28="","",IF(ROUND(F28,2)=5,"win","loss"))</f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>
        <f>IF(D28="","",IFERROR(LOOKUP(2,1/(($D$2:$D$1001=D28)*($M$2:$M$1001="win")),$L$2:$L$1001),""))</f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>
        <f>IF(E29="","",IF(OR(ISNUMBER(SEARCH("狼",E29)),ISNUMBER(SEARCH("石像鬼",E29)),ISNUMBER(SEARCH("恶灵骑士",E29)),ISNUMBER(SEARCH("黑蝙蝠",E29)),ISNUMBER(SEARCH("血月使徒",E29))),"werewolves","villagers"))</f>
      </c>
      <c r="M29" s="0">
        <f>IF(F29="","",IF(ROUND(F29,2)=5,"win","loss"))</f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>
        <f>IF(D29="","",IFERROR(LOOKUP(2,1/(($D$2:$D$1001=D29)*($M$2:$M$1001="win")),$L$2:$L$1001),""))</f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>
        <f>IF(E30="","",IF(OR(ISNUMBER(SEARCH("狼",E30)),ISNUMBER(SEARCH("石像鬼",E30)),ISNUMBER(SEARCH("恶灵骑士",E30)),ISNUMBER(SEARCH("黑蝙蝠",E30)),ISNUMBER(SEARCH("血月使徒",E30))),"werewolves","villagers"))</f>
      </c>
      <c r="M30" s="0">
        <f>IF(F30="","",IF(ROUND(F30,2)=5,"win","loss"))</f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>
        <f>IF(D30="","",IFERROR(LOOKUP(2,1/(($D$2:$D$1001=D30)*($M$2:$M$1001="win")),$L$2:$L$1001),""))</f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>
        <f>IF(E31="","",IF(OR(ISNUMBER(SEARCH("狼",E31)),ISNUMBER(SEARCH("石像鬼",E31)),ISNUMBER(SEARCH("恶灵骑士",E31)),ISNUMBER(SEARCH("黑蝙蝠",E31)),ISNUMBER(SEARCH("血月使徒",E31))),"werewolves","villagers"))</f>
      </c>
      <c r="M31" s="0">
        <f>IF(F31="","",IF(ROUND(F31,2)=5,"win","loss"))</f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>
        <f>IF(D31="","",IFERROR(LOOKUP(2,1/(($D$2:$D$1001=D31)*($M$2:$M$1001="win")),$L$2:$L$1001),""))</f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>
        <f>IF(E32="","",IF(OR(ISNUMBER(SEARCH("狼",E32)),ISNUMBER(SEARCH("石像鬼",E32)),ISNUMBER(SEARCH("恶灵骑士",E32)),ISNUMBER(SEARCH("黑蝙蝠",E32)),ISNUMBER(SEARCH("血月使徒",E32))),"werewolves","villagers"))</f>
      </c>
      <c r="M32" s="0">
        <f>IF(F32="","",IF(ROUND(F32,2)=5,"win","loss"))</f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>
        <f>IF(D32="","",IFERROR(LOOKUP(2,1/(($D$2:$D$1001=D32)*($M$2:$M$1001="win")),$L$2:$L$1001),""))</f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>
        <f>IF(E33="","",IF(OR(ISNUMBER(SEARCH("狼",E33)),ISNUMBER(SEARCH("石像鬼",E33)),ISNUMBER(SEARCH("恶灵骑士",E33)),ISNUMBER(SEARCH("黑蝙蝠",E33)),ISNUMBER(SEARCH("血月使徒",E33))),"werewolves","villagers"))</f>
      </c>
      <c r="M33" s="0">
        <f>IF(F33="","",IF(ROUND(F33,2)=5,"win","loss"))</f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>
        <f>IF(D33="","",IFERROR(LOOKUP(2,1/(($D$2:$D$1001=D33)*($M$2:$M$1001="win")),$L$2:$L$1001),""))</f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>
        <f>IF(E34="","",IF(OR(ISNUMBER(SEARCH("狼",E34)),ISNUMBER(SEARCH("石像鬼",E34)),ISNUMBER(SEARCH("恶灵骑士",E34)),ISNUMBER(SEARCH("黑蝙蝠",E34)),ISNUMBER(SEARCH("血月使徒",E34))),"werewolves","villagers"))</f>
      </c>
      <c r="M34" s="0">
        <f>IF(F34="","",IF(ROUND(F34,2)=5,"win","loss"))</f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>
        <f>IF(D34="","",IFERROR(LOOKUP(2,1/(($D$2:$D$1001=D34)*($M$2:$M$1001="win")),$L$2:$L$1001),""))</f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>
        <f>IF(E35="","",IF(OR(ISNUMBER(SEARCH("狼",E35)),ISNUMBER(SEARCH("石像鬼",E35)),ISNUMBER(SEARCH("恶灵骑士",E35)),ISNUMBER(SEARCH("黑蝙蝠",E35)),ISNUMBER(SEARCH("血月使徒",E35))),"werewolves","villagers"))</f>
      </c>
      <c r="M35" s="0">
        <f>IF(F35="","",IF(ROUND(F35,2)=5,"win","loss"))</f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>
        <f>IF(D35="","",IFERROR(LOOKUP(2,1/(($D$2:$D$1001=D35)*($M$2:$M$1001="win")),$L$2:$L$1001),""))</f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>
        <f>IF(E36="","",IF(OR(ISNUMBER(SEARCH("狼",E36)),ISNUMBER(SEARCH("石像鬼",E36)),ISNUMBER(SEARCH("恶灵骑士",E36)),ISNUMBER(SEARCH("黑蝙蝠",E36)),ISNUMBER(SEARCH("血月使徒",E36))),"werewolves","villagers"))</f>
      </c>
      <c r="M36" s="0">
        <f>IF(F36="","",IF(ROUND(F36,2)=5,"win","loss"))</f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>
        <f>IF(D36="","",IFERROR(LOOKUP(2,1/(($D$2:$D$1001=D36)*($M$2:$M$1001="win")),$L$2:$L$1001),""))</f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>
        <f>IF(E37="","",IF(OR(ISNUMBER(SEARCH("狼",E37)),ISNUMBER(SEARCH("石像鬼",E37)),ISNUMBER(SEARCH("恶灵骑士",E37)),ISNUMBER(SEARCH("黑蝙蝠",E37)),ISNUMBER(SEARCH("血月使徒",E37))),"werewolves","villagers"))</f>
      </c>
      <c r="M37" s="0">
        <f>IF(F37="","",IF(ROUND(F37,2)=5,"win","loss"))</f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>
        <f>IF(D37="","",IFERROR(LOOKUP(2,1/(($D$2:$D$1001=D37)*($M$2:$M$1001="win")),$L$2:$L$1001),""))</f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>
        <f>IF(E38="","",IF(OR(ISNUMBER(SEARCH("狼",E38)),ISNUMBER(SEARCH("石像鬼",E38)),ISNUMBER(SEARCH("恶灵骑士",E38)),ISNUMBER(SEARCH("黑蝙蝠",E38)),ISNUMBER(SEARCH("血月使徒",E38))),"werewolves","villagers"))</f>
      </c>
      <c r="M38" s="0">
        <f>IF(F38="","",IF(ROUND(F38,2)=5,"win","loss"))</f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>
        <f>IF(D38="","",IFERROR(LOOKUP(2,1/(($D$2:$D$1001=D38)*($M$2:$M$1001="win")),$L$2:$L$1001),""))</f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>
        <f>IF(E39="","",IF(OR(ISNUMBER(SEARCH("狼",E39)),ISNUMBER(SEARCH("石像鬼",E39)),ISNUMBER(SEARCH("恶灵骑士",E39)),ISNUMBER(SEARCH("黑蝙蝠",E39)),ISNUMBER(SEARCH("血月使徒",E39))),"werewolves","villagers"))</f>
      </c>
      <c r="M39" s="0">
        <f>IF(F39="","",IF(ROUND(F39,2)=5,"win","loss"))</f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>
        <f>IF(D39="","",IFERROR(LOOKUP(2,1/(($D$2:$D$1001=D39)*($M$2:$M$1001="win")),$L$2:$L$1001),""))</f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>
        <f>IF(E40="","",IF(OR(ISNUMBER(SEARCH("狼",E40)),ISNUMBER(SEARCH("石像鬼",E40)),ISNUMBER(SEARCH("恶灵骑士",E40)),ISNUMBER(SEARCH("黑蝙蝠",E40)),ISNUMBER(SEARCH("血月使徒",E40))),"werewolves","villagers"))</f>
      </c>
      <c r="M40" s="0">
        <f>IF(F40="","",IF(ROUND(F40,2)=5,"win","loss"))</f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>
        <f>IF(D40="","",IFERROR(LOOKUP(2,1/(($D$2:$D$1001=D40)*($M$2:$M$1001="win")),$L$2:$L$1001),""))</f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>
        <f>IF(E41="","",IF(OR(ISNUMBER(SEARCH("狼",E41)),ISNUMBER(SEARCH("石像鬼",E41)),ISNUMBER(SEARCH("恶灵骑士",E41)),ISNUMBER(SEARCH("黑蝙蝠",E41)),ISNUMBER(SEARCH("血月使徒",E41))),"werewolves","villagers"))</f>
      </c>
      <c r="M41" s="0">
        <f>IF(F41="","",IF(ROUND(F41,2)=5,"win","loss"))</f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>
        <f>IF(D41="","",IFERROR(LOOKUP(2,1/(($D$2:$D$1001=D41)*($M$2:$M$1001="win")),$L$2:$L$1001),""))</f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>
        <f>IF(E42="","",IF(OR(ISNUMBER(SEARCH("狼",E42)),ISNUMBER(SEARCH("石像鬼",E42)),ISNUMBER(SEARCH("恶灵骑士",E42)),ISNUMBER(SEARCH("黑蝙蝠",E42)),ISNUMBER(SEARCH("血月使徒",E42))),"werewolves","villagers"))</f>
      </c>
      <c r="M42" s="0">
        <f>IF(F42="","",IF(ROUND(F42,2)=5,"win","loss"))</f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>
        <f>IF(D42="","",IFERROR(LOOKUP(2,1/(($D$2:$D$1001=D42)*($M$2:$M$1001="win")),$L$2:$L$1001),""))</f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>
        <f>IF(E43="","",IF(OR(ISNUMBER(SEARCH("狼",E43)),ISNUMBER(SEARCH("石像鬼",E43)),ISNUMBER(SEARCH("恶灵骑士",E43)),ISNUMBER(SEARCH("黑蝙蝠",E43)),ISNUMBER(SEARCH("血月使徒",E43))),"werewolves","villagers"))</f>
      </c>
      <c r="M43" s="0">
        <f>IF(F43="","",IF(ROUND(F43,2)=5,"win","loss"))</f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>
        <f>IF(D43="","",IFERROR(LOOKUP(2,1/(($D$2:$D$1001=D43)*($M$2:$M$1001="win")),$L$2:$L$1001),""))</f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>
        <f>IF(E44="","",IF(OR(ISNUMBER(SEARCH("狼",E44)),ISNUMBER(SEARCH("石像鬼",E44)),ISNUMBER(SEARCH("恶灵骑士",E44)),ISNUMBER(SEARCH("黑蝙蝠",E44)),ISNUMBER(SEARCH("血月使徒",E44))),"werewolves","villagers"))</f>
      </c>
      <c r="M44" s="0">
        <f>IF(F44="","",IF(ROUND(F44,2)=5,"win","loss"))</f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>
        <f>IF(D44="","",IFERROR(LOOKUP(2,1/(($D$2:$D$1001=D44)*($M$2:$M$1001="win")),$L$2:$L$1001),""))</f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>
        <f>IF(E45="","",IF(OR(ISNUMBER(SEARCH("狼",E45)),ISNUMBER(SEARCH("石像鬼",E45)),ISNUMBER(SEARCH("恶灵骑士",E45)),ISNUMBER(SEARCH("黑蝙蝠",E45)),ISNUMBER(SEARCH("血月使徒",E45))),"werewolves","villagers"))</f>
      </c>
      <c r="M45" s="0">
        <f>IF(F45="","",IF(ROUND(F45,2)=5,"win","loss"))</f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>
        <f>IF(D45="","",IFERROR(LOOKUP(2,1/(($D$2:$D$1001=D45)*($M$2:$M$1001="win")),$L$2:$L$1001),""))</f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>
        <f>IF(E46="","",IF(OR(ISNUMBER(SEARCH("狼",E46)),ISNUMBER(SEARCH("石像鬼",E46)),ISNUMBER(SEARCH("恶灵骑士",E46)),ISNUMBER(SEARCH("黑蝙蝠",E46)),ISNUMBER(SEARCH("血月使徒",E46))),"werewolves","villagers"))</f>
      </c>
      <c r="M46" s="0">
        <f>IF(F46="","",IF(ROUND(F46,2)=5,"win","loss"))</f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>
        <f>IF(D46="","",IFERROR(LOOKUP(2,1/(($D$2:$D$1001=D46)*($M$2:$M$1001="win")),$L$2:$L$1001),""))</f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>
        <f>IF(E47="","",IF(OR(ISNUMBER(SEARCH("狼",E47)),ISNUMBER(SEARCH("石像鬼",E47)),ISNUMBER(SEARCH("恶灵骑士",E47)),ISNUMBER(SEARCH("黑蝙蝠",E47)),ISNUMBER(SEARCH("血月使徒",E47))),"werewolves","villagers"))</f>
      </c>
      <c r="M47" s="0">
        <f>IF(F47="","",IF(ROUND(F47,2)=5,"win","loss"))</f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>
        <f>IF(D47="","",IFERROR(LOOKUP(2,1/(($D$2:$D$1001=D47)*($M$2:$M$1001="win")),$L$2:$L$1001),""))</f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>
        <f>IF(E48="","",IF(OR(ISNUMBER(SEARCH("狼",E48)),ISNUMBER(SEARCH("石像鬼",E48)),ISNUMBER(SEARCH("恶灵骑士",E48)),ISNUMBER(SEARCH("黑蝙蝠",E48)),ISNUMBER(SEARCH("血月使徒",E48))),"werewolves","villagers"))</f>
      </c>
      <c r="M48" s="0">
        <f>IF(F48="","",IF(ROUND(F48,2)=5,"win","loss"))</f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>
        <f>IF(D48="","",IFERROR(LOOKUP(2,1/(($D$2:$D$1001=D48)*($M$2:$M$1001="win")),$L$2:$L$1001),""))</f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>
        <f>IF(E49="","",IF(OR(ISNUMBER(SEARCH("狼",E49)),ISNUMBER(SEARCH("石像鬼",E49)),ISNUMBER(SEARCH("恶灵骑士",E49)),ISNUMBER(SEARCH("黑蝙蝠",E49)),ISNUMBER(SEARCH("血月使徒",E49))),"werewolves","villagers"))</f>
      </c>
      <c r="M49" s="0">
        <f>IF(F49="","",IF(ROUND(F49,2)=5,"win","loss"))</f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>
        <f>IF(D49="","",IFERROR(LOOKUP(2,1/(($D$2:$D$1001=D49)*($M$2:$M$1001="win")),$L$2:$L$1001),""))</f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>
        <f>IF(E50="","",IF(OR(ISNUMBER(SEARCH("狼",E50)),ISNUMBER(SEARCH("石像鬼",E50)),ISNUMBER(SEARCH("恶灵骑士",E50)),ISNUMBER(SEARCH("黑蝙蝠",E50)),ISNUMBER(SEARCH("血月使徒",E50))),"werewolves","villagers"))</f>
      </c>
      <c r="M50" s="0">
        <f>IF(F50="","",IF(ROUND(F50,2)=5,"win","loss"))</f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>
        <f>IF(D50="","",IFERROR(LOOKUP(2,1/(($D$2:$D$1001=D50)*($M$2:$M$1001="win")),$L$2:$L$1001),""))</f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>
        <f>IF(E51="","",IF(OR(ISNUMBER(SEARCH("狼",E51)),ISNUMBER(SEARCH("石像鬼",E51)),ISNUMBER(SEARCH("恶灵骑士",E51)),ISNUMBER(SEARCH("黑蝙蝠",E51)),ISNUMBER(SEARCH("血月使徒",E51))),"werewolves","villagers"))</f>
      </c>
      <c r="M51" s="0">
        <f>IF(F51="","",IF(ROUND(F51,2)=5,"win","loss"))</f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>
        <f>IF(D51="","",IFERROR(LOOKUP(2,1/(($D$2:$D$1001=D51)*($M$2:$M$1001="win")),$L$2:$L$1001),""))</f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>
        <f>IF(E52="","",IF(OR(ISNUMBER(SEARCH("狼",E52)),ISNUMBER(SEARCH("石像鬼",E52)),ISNUMBER(SEARCH("恶灵骑士",E52)),ISNUMBER(SEARCH("黑蝙蝠",E52)),ISNUMBER(SEARCH("血月使徒",E52))),"werewolves","villagers"))</f>
      </c>
      <c r="M52" s="0">
        <f>IF(F52="","",IF(ROUND(F52,2)=5,"win","loss"))</f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>
        <f>IF(D52="","",IFERROR(LOOKUP(2,1/(($D$2:$D$1001=D52)*($M$2:$M$1001="win")),$L$2:$L$1001),""))</f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>
        <f>IF(E53="","",IF(OR(ISNUMBER(SEARCH("狼",E53)),ISNUMBER(SEARCH("石像鬼",E53)),ISNUMBER(SEARCH("恶灵骑士",E53)),ISNUMBER(SEARCH("黑蝙蝠",E53)),ISNUMBER(SEARCH("血月使徒",E53))),"werewolves","villagers"))</f>
      </c>
      <c r="M53" s="0">
        <f>IF(F53="","",IF(ROUND(F53,2)=5,"win","loss"))</f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>
        <f>IF(D53="","",IFERROR(LOOKUP(2,1/(($D$2:$D$1001=D53)*($M$2:$M$1001="win")),$L$2:$L$1001),""))</f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>
        <f>IF(E54="","",IF(OR(ISNUMBER(SEARCH("狼",E54)),ISNUMBER(SEARCH("石像鬼",E54)),ISNUMBER(SEARCH("恶灵骑士",E54)),ISNUMBER(SEARCH("黑蝙蝠",E54)),ISNUMBER(SEARCH("血月使徒",E54))),"werewolves","villagers"))</f>
      </c>
      <c r="M54" s="0">
        <f>IF(F54="","",IF(ROUND(F54,2)=5,"win","loss"))</f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>
        <f>IF(D54="","",IFERROR(LOOKUP(2,1/(($D$2:$D$1001=D54)*($M$2:$M$1001="win")),$L$2:$L$1001),""))</f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>
        <f>IF(E55="","",IF(OR(ISNUMBER(SEARCH("狼",E55)),ISNUMBER(SEARCH("石像鬼",E55)),ISNUMBER(SEARCH("恶灵骑士",E55)),ISNUMBER(SEARCH("黑蝙蝠",E55)),ISNUMBER(SEARCH("血月使徒",E55))),"werewolves","villagers"))</f>
      </c>
      <c r="M55" s="0">
        <f>IF(F55="","",IF(ROUND(F55,2)=5,"win","loss"))</f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>
        <f>IF(D55="","",IFERROR(LOOKUP(2,1/(($D$2:$D$1001=D55)*($M$2:$M$1001="win")),$L$2:$L$1001),""))</f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>
        <f>IF(E56="","",IF(OR(ISNUMBER(SEARCH("狼",E56)),ISNUMBER(SEARCH("石像鬼",E56)),ISNUMBER(SEARCH("恶灵骑士",E56)),ISNUMBER(SEARCH("黑蝙蝠",E56)),ISNUMBER(SEARCH("血月使徒",E56))),"werewolves","villagers"))</f>
      </c>
      <c r="M56" s="0">
        <f>IF(F56="","",IF(ROUND(F56,2)=5,"win","loss"))</f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>
        <f>IF(D56="","",IFERROR(LOOKUP(2,1/(($D$2:$D$1001=D56)*($M$2:$M$1001="win")),$L$2:$L$1001),""))</f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>
        <f>IF(E57="","",IF(OR(ISNUMBER(SEARCH("狼",E57)),ISNUMBER(SEARCH("石像鬼",E57)),ISNUMBER(SEARCH("恶灵骑士",E57)),ISNUMBER(SEARCH("黑蝙蝠",E57)),ISNUMBER(SEARCH("血月使徒",E57))),"werewolves","villagers"))</f>
      </c>
      <c r="M57" s="0">
        <f>IF(F57="","",IF(ROUND(F57,2)=5,"win","loss"))</f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>
        <f>IF(D57="","",IFERROR(LOOKUP(2,1/(($D$2:$D$1001=D57)*($M$2:$M$1001="win")),$L$2:$L$1001),""))</f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>
        <f>IF(E58="","",IF(OR(ISNUMBER(SEARCH("狼",E58)),ISNUMBER(SEARCH("石像鬼",E58)),ISNUMBER(SEARCH("恶灵骑士",E58)),ISNUMBER(SEARCH("黑蝙蝠",E58)),ISNUMBER(SEARCH("血月使徒",E58))),"werewolves","villagers"))</f>
      </c>
      <c r="M58" s="0">
        <f>IF(F58="","",IF(ROUND(F58,2)=5,"win","loss"))</f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>
        <f>IF(D58="","",IFERROR(LOOKUP(2,1/(($D$2:$D$1001=D58)*($M$2:$M$1001="win")),$L$2:$L$1001),""))</f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>
        <f>IF(E59="","",IF(OR(ISNUMBER(SEARCH("狼",E59)),ISNUMBER(SEARCH("石像鬼",E59)),ISNUMBER(SEARCH("恶灵骑士",E59)),ISNUMBER(SEARCH("黑蝙蝠",E59)),ISNUMBER(SEARCH("血月使徒",E59))),"werewolves","villagers"))</f>
      </c>
      <c r="M59" s="0">
        <f>IF(F59="","",IF(ROUND(F59,2)=5,"win","loss"))</f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>
        <f>IF(D59="","",IFERROR(LOOKUP(2,1/(($D$2:$D$1001=D59)*($M$2:$M$1001="win")),$L$2:$L$1001),""))</f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>
        <f>IF(E60="","",IF(OR(ISNUMBER(SEARCH("狼",E60)),ISNUMBER(SEARCH("石像鬼",E60)),ISNUMBER(SEARCH("恶灵骑士",E60)),ISNUMBER(SEARCH("黑蝙蝠",E60)),ISNUMBER(SEARCH("血月使徒",E60))),"werewolves","villagers"))</f>
      </c>
      <c r="M60" s="0">
        <f>IF(F60="","",IF(ROUND(F60,2)=5,"win","loss"))</f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>
        <f>IF(D60="","",IFERROR(LOOKUP(2,1/(($D$2:$D$1001=D60)*($M$2:$M$1001="win")),$L$2:$L$1001),""))</f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>
        <f>IF(E61="","",IF(OR(ISNUMBER(SEARCH("狼",E61)),ISNUMBER(SEARCH("石像鬼",E61)),ISNUMBER(SEARCH("恶灵骑士",E61)),ISNUMBER(SEARCH("黑蝙蝠",E61)),ISNUMBER(SEARCH("血月使徒",E61))),"werewolves","villagers"))</f>
      </c>
      <c r="M61" s="0">
        <f>IF(F61="","",IF(ROUND(F61,2)=5,"win","loss"))</f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>
        <f>IF(D61="","",IFERROR(LOOKUP(2,1/(($D$2:$D$1001=D61)*($M$2:$M$1001="win")),$L$2:$L$1001),""))</f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>
        <f>IF(E62="","",IF(OR(ISNUMBER(SEARCH("狼",E62)),ISNUMBER(SEARCH("石像鬼",E62)),ISNUMBER(SEARCH("恶灵骑士",E62)),ISNUMBER(SEARCH("黑蝙蝠",E62)),ISNUMBER(SEARCH("血月使徒",E62))),"werewolves","villagers"))</f>
      </c>
      <c r="M62" s="0">
        <f>IF(F62="","",IF(ROUND(F62,2)=5,"win","loss"))</f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>
        <f>IF(D62="","",IFERROR(LOOKUP(2,1/(($D$2:$D$1001=D62)*($M$2:$M$1001="win")),$L$2:$L$1001),""))</f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>
        <f>IF(E63="","",IF(OR(ISNUMBER(SEARCH("狼",E63)),ISNUMBER(SEARCH("石像鬼",E63)),ISNUMBER(SEARCH("恶灵骑士",E63)),ISNUMBER(SEARCH("黑蝙蝠",E63)),ISNUMBER(SEARCH("血月使徒",E63))),"werewolves","villagers"))</f>
      </c>
      <c r="M63" s="0">
        <f>IF(F63="","",IF(ROUND(F63,2)=5,"win","loss"))</f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>
        <f>IF(D63="","",IFERROR(LOOKUP(2,1/(($D$2:$D$1001=D63)*($M$2:$M$1001="win")),$L$2:$L$1001),""))</f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>
        <f>IF(E64="","",IF(OR(ISNUMBER(SEARCH("狼",E64)),ISNUMBER(SEARCH("石像鬼",E64)),ISNUMBER(SEARCH("恶灵骑士",E64)),ISNUMBER(SEARCH("黑蝙蝠",E64)),ISNUMBER(SEARCH("血月使徒",E64))),"werewolves","villagers"))</f>
      </c>
      <c r="M64" s="0">
        <f>IF(F64="","",IF(ROUND(F64,2)=5,"win","loss"))</f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>
        <f>IF(D64="","",IFERROR(LOOKUP(2,1/(($D$2:$D$1001=D64)*($M$2:$M$1001="win")),$L$2:$L$1001),""))</f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>
        <f>IF(E65="","",IF(OR(ISNUMBER(SEARCH("狼",E65)),ISNUMBER(SEARCH("石像鬼",E65)),ISNUMBER(SEARCH("恶灵骑士",E65)),ISNUMBER(SEARCH("黑蝙蝠",E65)),ISNUMBER(SEARCH("血月使徒",E65))),"werewolves","villagers"))</f>
      </c>
      <c r="M65" s="0">
        <f>IF(F65="","",IF(ROUND(F65,2)=5,"win","loss"))</f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>
        <f>IF(D65="","",IFERROR(LOOKUP(2,1/(($D$2:$D$1001=D65)*($M$2:$M$1001="win")),$L$2:$L$1001),""))</f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>
        <f>IF(E66="","",IF(OR(ISNUMBER(SEARCH("狼",E66)),ISNUMBER(SEARCH("石像鬼",E66)),ISNUMBER(SEARCH("恶灵骑士",E66)),ISNUMBER(SEARCH("黑蝙蝠",E66)),ISNUMBER(SEARCH("血月使徒",E66))),"werewolves","villagers"))</f>
      </c>
      <c r="M66" s="0">
        <f>IF(F66="","",IF(ROUND(F66,2)=5,"win","loss"))</f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>
        <f>IF(D66="","",IFERROR(LOOKUP(2,1/(($D$2:$D$1001=D66)*($M$2:$M$1001="win")),$L$2:$L$1001),""))</f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>
        <f>IF(E67="","",IF(OR(ISNUMBER(SEARCH("狼",E67)),ISNUMBER(SEARCH("石像鬼",E67)),ISNUMBER(SEARCH("恶灵骑士",E67)),ISNUMBER(SEARCH("黑蝙蝠",E67)),ISNUMBER(SEARCH("血月使徒",E67))),"werewolves","villagers"))</f>
      </c>
      <c r="M67" s="0">
        <f>IF(F67="","",IF(ROUND(F67,2)=5,"win","loss"))</f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>
        <f>IF(D67="","",IFERROR(LOOKUP(2,1/(($D$2:$D$1001=D67)*($M$2:$M$1001="win")),$L$2:$L$1001),""))</f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>
        <f>IF(E68="","",IF(OR(ISNUMBER(SEARCH("狼",E68)),ISNUMBER(SEARCH("石像鬼",E68)),ISNUMBER(SEARCH("恶灵骑士",E68)),ISNUMBER(SEARCH("黑蝙蝠",E68)),ISNUMBER(SEARCH("血月使徒",E68))),"werewolves","villagers"))</f>
      </c>
      <c r="M68" s="0">
        <f>IF(F68="","",IF(ROUND(F68,2)=5,"win","loss"))</f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>
        <f>IF(D68="","",IFERROR(LOOKUP(2,1/(($D$2:$D$1001=D68)*($M$2:$M$1001="win")),$L$2:$L$1001),""))</f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>
        <f>IF(E69="","",IF(OR(ISNUMBER(SEARCH("狼",E69)),ISNUMBER(SEARCH("石像鬼",E69)),ISNUMBER(SEARCH("恶灵骑士",E69)),ISNUMBER(SEARCH("黑蝙蝠",E69)),ISNUMBER(SEARCH("血月使徒",E69))),"werewolves","villagers"))</f>
      </c>
      <c r="M69" s="0">
        <f>IF(F69="","",IF(ROUND(F69,2)=5,"win","loss"))</f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>
        <f>IF(D69="","",IFERROR(LOOKUP(2,1/(($D$2:$D$1001=D69)*($M$2:$M$1001="win")),$L$2:$L$1001),""))</f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>
        <f>IF(E70="","",IF(OR(ISNUMBER(SEARCH("狼",E70)),ISNUMBER(SEARCH("石像鬼",E70)),ISNUMBER(SEARCH("恶灵骑士",E70)),ISNUMBER(SEARCH("黑蝙蝠",E70)),ISNUMBER(SEARCH("血月使徒",E70))),"werewolves","villagers"))</f>
      </c>
      <c r="M70" s="0">
        <f>IF(F70="","",IF(ROUND(F70,2)=5,"win","loss"))</f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>
        <f>IF(D70="","",IFERROR(LOOKUP(2,1/(($D$2:$D$1001=D70)*($M$2:$M$1001="win")),$L$2:$L$1001),""))</f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>
        <f>IF(E71="","",IF(OR(ISNUMBER(SEARCH("狼",E71)),ISNUMBER(SEARCH("石像鬼",E71)),ISNUMBER(SEARCH("恶灵骑士",E71)),ISNUMBER(SEARCH("黑蝙蝠",E71)),ISNUMBER(SEARCH("血月使徒",E71))),"werewolves","villagers"))</f>
      </c>
      <c r="M71" s="0">
        <f>IF(F71="","",IF(ROUND(F71,2)=5,"win","loss"))</f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>
        <f>IF(D71="","",IFERROR(LOOKUP(2,1/(($D$2:$D$1001=D71)*($M$2:$M$1001="win")),$L$2:$L$1001),""))</f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>
        <f>IF(E72="","",IF(OR(ISNUMBER(SEARCH("狼",E72)),ISNUMBER(SEARCH("石像鬼",E72)),ISNUMBER(SEARCH("恶灵骑士",E72)),ISNUMBER(SEARCH("黑蝙蝠",E72)),ISNUMBER(SEARCH("血月使徒",E72))),"werewolves","villagers"))</f>
      </c>
      <c r="M72" s="0">
        <f>IF(F72="","",IF(ROUND(F72,2)=5,"win","loss"))</f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>
        <f>IF(D72="","",IFERROR(LOOKUP(2,1/(($D$2:$D$1001=D72)*($M$2:$M$1001="win")),$L$2:$L$1001),""))</f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>
        <f>IF(E73="","",IF(OR(ISNUMBER(SEARCH("狼",E73)),ISNUMBER(SEARCH("石像鬼",E73)),ISNUMBER(SEARCH("恶灵骑士",E73)),ISNUMBER(SEARCH("黑蝙蝠",E73)),ISNUMBER(SEARCH("血月使徒",E73))),"werewolves","villagers"))</f>
      </c>
      <c r="M73" s="0">
        <f>IF(F73="","",IF(ROUND(F73,2)=5,"win","loss"))</f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>
        <f>IF(D73="","",IFERROR(LOOKUP(2,1/(($D$2:$D$1001=D73)*($M$2:$M$1001="win")),$L$2:$L$1001),""))</f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>
        <f>IF(E74="","",IF(OR(ISNUMBER(SEARCH("狼",E74)),ISNUMBER(SEARCH("石像鬼",E74)),ISNUMBER(SEARCH("恶灵骑士",E74)),ISNUMBER(SEARCH("黑蝙蝠",E74)),ISNUMBER(SEARCH("血月使徒",E74))),"werewolves","villagers"))</f>
      </c>
      <c r="M74" s="0">
        <f>IF(F74="","",IF(ROUND(F74,2)=5,"win","loss"))</f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>
        <f>IF(D74="","",IFERROR(LOOKUP(2,1/(($D$2:$D$1001=D74)*($M$2:$M$1001="win")),$L$2:$L$1001),""))</f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>
        <f>IF(E75="","",IF(OR(ISNUMBER(SEARCH("狼",E75)),ISNUMBER(SEARCH("石像鬼",E75)),ISNUMBER(SEARCH("恶灵骑士",E75)),ISNUMBER(SEARCH("黑蝙蝠",E75)),ISNUMBER(SEARCH("血月使徒",E75))),"werewolves","villagers"))</f>
      </c>
      <c r="M75" s="0">
        <f>IF(F75="","",IF(ROUND(F75,2)=5,"win","loss"))</f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>
        <f>IF(D75="","",IFERROR(LOOKUP(2,1/(($D$2:$D$1001=D75)*($M$2:$M$1001="win")),$L$2:$L$1001),""))</f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>
        <f>IF(E76="","",IF(OR(ISNUMBER(SEARCH("狼",E76)),ISNUMBER(SEARCH("石像鬼",E76)),ISNUMBER(SEARCH("恶灵骑士",E76)),ISNUMBER(SEARCH("黑蝙蝠",E76)),ISNUMBER(SEARCH("血月使徒",E76))),"werewolves","villagers"))</f>
      </c>
      <c r="M76" s="0">
        <f>IF(F76="","",IF(ROUND(F76,2)=5,"win","loss"))</f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>
        <f>IF(D76="","",IFERROR(LOOKUP(2,1/(($D$2:$D$1001=D76)*($M$2:$M$1001="win")),$L$2:$L$1001),""))</f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>
        <f>IF(E77="","",IF(OR(ISNUMBER(SEARCH("狼",E77)),ISNUMBER(SEARCH("石像鬼",E77)),ISNUMBER(SEARCH("恶灵骑士",E77)),ISNUMBER(SEARCH("黑蝙蝠",E77)),ISNUMBER(SEARCH("血月使徒",E77))),"werewolves","villagers"))</f>
      </c>
      <c r="M77" s="0">
        <f>IF(F77="","",IF(ROUND(F77,2)=5,"win","loss"))</f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>
        <f>IF(D77="","",IFERROR(LOOKUP(2,1/(($D$2:$D$1001=D77)*($M$2:$M$1001="win")),$L$2:$L$1001),""))</f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>
        <f>IF(E78="","",IF(OR(ISNUMBER(SEARCH("狼",E78)),ISNUMBER(SEARCH("石像鬼",E78)),ISNUMBER(SEARCH("恶灵骑士",E78)),ISNUMBER(SEARCH("黑蝙蝠",E78)),ISNUMBER(SEARCH("血月使徒",E78))),"werewolves","villagers"))</f>
      </c>
      <c r="M78" s="0">
        <f>IF(F78="","",IF(ROUND(F78,2)=5,"win","loss"))</f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>
        <f>IF(D78="","",IFERROR(LOOKUP(2,1/(($D$2:$D$1001=D78)*($M$2:$M$1001="win")),$L$2:$L$1001),""))</f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>
        <f>IF(E79="","",IF(OR(ISNUMBER(SEARCH("狼",E79)),ISNUMBER(SEARCH("石像鬼",E79)),ISNUMBER(SEARCH("恶灵骑士",E79)),ISNUMBER(SEARCH("黑蝙蝠",E79)),ISNUMBER(SEARCH("血月使徒",E79))),"werewolves","villagers"))</f>
      </c>
      <c r="M79" s="0">
        <f>IF(F79="","",IF(ROUND(F79,2)=5,"win","loss"))</f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>
        <f>IF(D79="","",IFERROR(LOOKUP(2,1/(($D$2:$D$1001=D79)*($M$2:$M$1001="win")),$L$2:$L$1001),""))</f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>
        <f>IF(E80="","",IF(OR(ISNUMBER(SEARCH("狼",E80)),ISNUMBER(SEARCH("石像鬼",E80)),ISNUMBER(SEARCH("恶灵骑士",E80)),ISNUMBER(SEARCH("黑蝙蝠",E80)),ISNUMBER(SEARCH("血月使徒",E80))),"werewolves","villagers"))</f>
      </c>
      <c r="M80" s="0">
        <f>IF(F80="","",IF(ROUND(F80,2)=5,"win","loss"))</f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>
        <f>IF(D80="","",IFERROR(LOOKUP(2,1/(($D$2:$D$1001=D80)*($M$2:$M$1001="win")),$L$2:$L$1001),""))</f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>
        <f>IF(E81="","",IF(OR(ISNUMBER(SEARCH("狼",E81)),ISNUMBER(SEARCH("石像鬼",E81)),ISNUMBER(SEARCH("恶灵骑士",E81)),ISNUMBER(SEARCH("黑蝙蝠",E81)),ISNUMBER(SEARCH("血月使徒",E81))),"werewolves","villagers"))</f>
      </c>
      <c r="M81" s="0">
        <f>IF(F81="","",IF(ROUND(F81,2)=5,"win","loss"))</f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>
        <f>IF(D81="","",IFERROR(LOOKUP(2,1/(($D$2:$D$1001=D81)*($M$2:$M$1001="win")),$L$2:$L$1001),""))</f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>
        <f>IF(E82="","",IF(OR(ISNUMBER(SEARCH("狼",E82)),ISNUMBER(SEARCH("石像鬼",E82)),ISNUMBER(SEARCH("恶灵骑士",E82)),ISNUMBER(SEARCH("黑蝙蝠",E82)),ISNUMBER(SEARCH("血月使徒",E82))),"werewolves","villagers"))</f>
      </c>
      <c r="M82" s="0">
        <f>IF(F82="","",IF(ROUND(F82,2)=5,"win","loss"))</f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>
        <f>IF(D82="","",IFERROR(LOOKUP(2,1/(($D$2:$D$1001=D82)*($M$2:$M$1001="win")),$L$2:$L$1001),""))</f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>
        <f>IF(E83="","",IF(OR(ISNUMBER(SEARCH("狼",E83)),ISNUMBER(SEARCH("石像鬼",E83)),ISNUMBER(SEARCH("恶灵骑士",E83)),ISNUMBER(SEARCH("黑蝙蝠",E83)),ISNUMBER(SEARCH("血月使徒",E83))),"werewolves","villagers"))</f>
      </c>
      <c r="M83" s="0">
        <f>IF(F83="","",IF(ROUND(F83,2)=5,"win","loss"))</f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>
        <f>IF(D83="","",IFERROR(LOOKUP(2,1/(($D$2:$D$1001=D83)*($M$2:$M$1001="win")),$L$2:$L$1001),""))</f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>
        <f>IF(E84="","",IF(OR(ISNUMBER(SEARCH("狼",E84)),ISNUMBER(SEARCH("石像鬼",E84)),ISNUMBER(SEARCH("恶灵骑士",E84)),ISNUMBER(SEARCH("黑蝙蝠",E84)),ISNUMBER(SEARCH("血月使徒",E84))),"werewolves","villagers"))</f>
      </c>
      <c r="M84" s="0">
        <f>IF(F84="","",IF(ROUND(F84,2)=5,"win","loss"))</f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>
        <f>IF(D84="","",IFERROR(LOOKUP(2,1/(($D$2:$D$1001=D84)*($M$2:$M$1001="win")),$L$2:$L$1001),""))</f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>
        <f>IF(E85="","",IF(OR(ISNUMBER(SEARCH("狼",E85)),ISNUMBER(SEARCH("石像鬼",E85)),ISNUMBER(SEARCH("恶灵骑士",E85)),ISNUMBER(SEARCH("黑蝙蝠",E85)),ISNUMBER(SEARCH("血月使徒",E85))),"werewolves","villagers"))</f>
      </c>
      <c r="M85" s="0">
        <f>IF(F85="","",IF(ROUND(F85,2)=5,"win","loss"))</f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>
        <f>IF(D85="","",IFERROR(LOOKUP(2,1/(($D$2:$D$1001=D85)*($M$2:$M$1001="win")),$L$2:$L$1001),""))</f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>
        <f>IF(E86="","",IF(OR(ISNUMBER(SEARCH("狼",E86)),ISNUMBER(SEARCH("石像鬼",E86)),ISNUMBER(SEARCH("恶灵骑士",E86)),ISNUMBER(SEARCH("黑蝙蝠",E86)),ISNUMBER(SEARCH("血月使徒",E86))),"werewolves","villagers"))</f>
      </c>
      <c r="M86" s="0">
        <f>IF(F86="","",IF(ROUND(F86,2)=5,"win","loss"))</f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>
        <f>IF(D86="","",IFERROR(LOOKUP(2,1/(($D$2:$D$1001=D86)*($M$2:$M$1001="win")),$L$2:$L$1001),""))</f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>
        <f>IF(E87="","",IF(OR(ISNUMBER(SEARCH("狼",E87)),ISNUMBER(SEARCH("石像鬼",E87)),ISNUMBER(SEARCH("恶灵骑士",E87)),ISNUMBER(SEARCH("黑蝙蝠",E87)),ISNUMBER(SEARCH("血月使徒",E87))),"werewolves","villagers"))</f>
      </c>
      <c r="M87" s="0">
        <f>IF(F87="","",IF(ROUND(F87,2)=5,"win","loss"))</f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>
        <f>IF(D87="","",IFERROR(LOOKUP(2,1/(($D$2:$D$1001=D87)*($M$2:$M$1001="win")),$L$2:$L$1001),""))</f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>
        <f>IF(E88="","",IF(OR(ISNUMBER(SEARCH("狼",E88)),ISNUMBER(SEARCH("石像鬼",E88)),ISNUMBER(SEARCH("恶灵骑士",E88)),ISNUMBER(SEARCH("黑蝙蝠",E88)),ISNUMBER(SEARCH("血月使徒",E88))),"werewolves","villagers"))</f>
      </c>
      <c r="M88" s="0">
        <f>IF(F88="","",IF(ROUND(F88,2)=5,"win","loss"))</f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>
        <f>IF(D88="","",IFERROR(LOOKUP(2,1/(($D$2:$D$1001=D88)*($M$2:$M$1001="win")),$L$2:$L$1001),""))</f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>
        <f>IF(E89="","",IF(OR(ISNUMBER(SEARCH("狼",E89)),ISNUMBER(SEARCH("石像鬼",E89)),ISNUMBER(SEARCH("恶灵骑士",E89)),ISNUMBER(SEARCH("黑蝙蝠",E89)),ISNUMBER(SEARCH("血月使徒",E89))),"werewolves","villagers"))</f>
      </c>
      <c r="M89" s="0">
        <f>IF(F89="","",IF(ROUND(F89,2)=5,"win","loss"))</f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>
        <f>IF(D89="","",IFERROR(LOOKUP(2,1/(($D$2:$D$1001=D89)*($M$2:$M$1001="win")),$L$2:$L$1001),""))</f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>
        <f>IF(E90="","",IF(OR(ISNUMBER(SEARCH("狼",E90)),ISNUMBER(SEARCH("石像鬼",E90)),ISNUMBER(SEARCH("恶灵骑士",E90)),ISNUMBER(SEARCH("黑蝙蝠",E90)),ISNUMBER(SEARCH("血月使徒",E90))),"werewolves","villagers"))</f>
      </c>
      <c r="M90" s="0">
        <f>IF(F90="","",IF(ROUND(F90,2)=5,"win","loss"))</f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>
        <f>IF(D90="","",IFERROR(LOOKUP(2,1/(($D$2:$D$1001=D90)*($M$2:$M$1001="win")),$L$2:$L$1001),""))</f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>
        <f>IF(E91="","",IF(OR(ISNUMBER(SEARCH("狼",E91)),ISNUMBER(SEARCH("石像鬼",E91)),ISNUMBER(SEARCH("恶灵骑士",E91)),ISNUMBER(SEARCH("黑蝙蝠",E91)),ISNUMBER(SEARCH("血月使徒",E91))),"werewolves","villagers"))</f>
      </c>
      <c r="M91" s="0">
        <f>IF(F91="","",IF(ROUND(F91,2)=5,"win","loss"))</f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>
        <f>IF(D91="","",IFERROR(LOOKUP(2,1/(($D$2:$D$1001=D91)*($M$2:$M$1001="win")),$L$2:$L$1001),""))</f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>
        <f>IF(E92="","",IF(OR(ISNUMBER(SEARCH("狼",E92)),ISNUMBER(SEARCH("石像鬼",E92)),ISNUMBER(SEARCH("恶灵骑士",E92)),ISNUMBER(SEARCH("黑蝙蝠",E92)),ISNUMBER(SEARCH("血月使徒",E92))),"werewolves","villagers"))</f>
      </c>
      <c r="M92" s="0">
        <f>IF(F92="","",IF(ROUND(F92,2)=5,"win","loss"))</f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>
        <f>IF(D92="","",IFERROR(LOOKUP(2,1/(($D$2:$D$1001=D92)*($M$2:$M$1001="win")),$L$2:$L$1001),""))</f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>
        <f>IF(E93="","",IF(OR(ISNUMBER(SEARCH("狼",E93)),ISNUMBER(SEARCH("石像鬼",E93)),ISNUMBER(SEARCH("恶灵骑士",E93)),ISNUMBER(SEARCH("黑蝙蝠",E93)),ISNUMBER(SEARCH("血月使徒",E93))),"werewolves","villagers"))</f>
      </c>
      <c r="M93" s="0">
        <f>IF(F93="","",IF(ROUND(F93,2)=5,"win","loss"))</f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>
        <f>IF(D93="","",IFERROR(LOOKUP(2,1/(($D$2:$D$1001=D93)*($M$2:$M$1001="win")),$L$2:$L$1001),""))</f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>
        <f>IF(E94="","",IF(OR(ISNUMBER(SEARCH("狼",E94)),ISNUMBER(SEARCH("石像鬼",E94)),ISNUMBER(SEARCH("恶灵骑士",E94)),ISNUMBER(SEARCH("黑蝙蝠",E94)),ISNUMBER(SEARCH("血月使徒",E94))),"werewolves","villagers"))</f>
      </c>
      <c r="M94" s="0">
        <f>IF(F94="","",IF(ROUND(F94,2)=5,"win","loss"))</f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>
        <f>IF(D94="","",IFERROR(LOOKUP(2,1/(($D$2:$D$1001=D94)*($M$2:$M$1001="win")),$L$2:$L$1001),""))</f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>
        <f>IF(E95="","",IF(OR(ISNUMBER(SEARCH("狼",E95)),ISNUMBER(SEARCH("石像鬼",E95)),ISNUMBER(SEARCH("恶灵骑士",E95)),ISNUMBER(SEARCH("黑蝙蝠",E95)),ISNUMBER(SEARCH("血月使徒",E95))),"werewolves","villagers"))</f>
      </c>
      <c r="M95" s="0">
        <f>IF(F95="","",IF(ROUND(F95,2)=5,"win","loss"))</f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>
        <f>IF(D95="","",IFERROR(LOOKUP(2,1/(($D$2:$D$1001=D95)*($M$2:$M$1001="win")),$L$2:$L$1001),""))</f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>
        <f>IF(E96="","",IF(OR(ISNUMBER(SEARCH("狼",E96)),ISNUMBER(SEARCH("石像鬼",E96)),ISNUMBER(SEARCH("恶灵骑士",E96)),ISNUMBER(SEARCH("黑蝙蝠",E96)),ISNUMBER(SEARCH("血月使徒",E96))),"werewolves","villagers"))</f>
      </c>
      <c r="M96" s="0">
        <f>IF(F96="","",IF(ROUND(F96,2)=5,"win","loss"))</f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>
        <f>IF(D96="","",IFERROR(LOOKUP(2,1/(($D$2:$D$1001=D96)*($M$2:$M$1001="win")),$L$2:$L$1001),""))</f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>
        <f>IF(E97="","",IF(OR(ISNUMBER(SEARCH("狼",E97)),ISNUMBER(SEARCH("石像鬼",E97)),ISNUMBER(SEARCH("恶灵骑士",E97)),ISNUMBER(SEARCH("黑蝙蝠",E97)),ISNUMBER(SEARCH("血月使徒",E97))),"werewolves","villagers"))</f>
      </c>
      <c r="M97" s="0">
        <f>IF(F97="","",IF(ROUND(F97,2)=5,"win","loss"))</f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>
        <f>IF(D97="","",IFERROR(LOOKUP(2,1/(($D$2:$D$1001=D97)*($M$2:$M$1001="win")),$L$2:$L$1001),""))</f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>
        <f>IF(E98="","",IF(OR(ISNUMBER(SEARCH("狼",E98)),ISNUMBER(SEARCH("石像鬼",E98)),ISNUMBER(SEARCH("恶灵骑士",E98)),ISNUMBER(SEARCH("黑蝙蝠",E98)),ISNUMBER(SEARCH("血月使徒",E98))),"werewolves","villagers"))</f>
      </c>
      <c r="M98" s="0">
        <f>IF(F98="","",IF(ROUND(F98,2)=5,"win","loss"))</f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>
        <f>IF(D98="","",IFERROR(LOOKUP(2,1/(($D$2:$D$1001=D98)*($M$2:$M$1001="win")),$L$2:$L$1001),""))</f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>
        <f>IF(E99="","",IF(OR(ISNUMBER(SEARCH("狼",E99)),ISNUMBER(SEARCH("石像鬼",E99)),ISNUMBER(SEARCH("恶灵骑士",E99)),ISNUMBER(SEARCH("黑蝙蝠",E99)),ISNUMBER(SEARCH("血月使徒",E99))),"werewolves","villagers"))</f>
      </c>
      <c r="M99" s="0">
        <f>IF(F99="","",IF(ROUND(F99,2)=5,"win","loss"))</f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>
        <f>IF(D99="","",IFERROR(LOOKUP(2,1/(($D$2:$D$1001=D99)*($M$2:$M$1001="win")),$L$2:$L$1001),""))</f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>
        <f>IF(E100="","",IF(OR(ISNUMBER(SEARCH("狼",E100)),ISNUMBER(SEARCH("石像鬼",E100)),ISNUMBER(SEARCH("恶灵骑士",E100)),ISNUMBER(SEARCH("黑蝙蝠",E100)),ISNUMBER(SEARCH("血月使徒",E100))),"werewolves","villagers"))</f>
      </c>
      <c r="M100" s="0">
        <f>IF(F100="","",IF(ROUND(F100,2)=5,"win","loss"))</f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>
        <f>IF(D100="","",IFERROR(LOOKUP(2,1/(($D$2:$D$1001=D100)*($M$2:$M$1001="win")),$L$2:$L$1001),""))</f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>
        <f>IF(E101="","",IF(OR(ISNUMBER(SEARCH("狼",E101)),ISNUMBER(SEARCH("石像鬼",E101)),ISNUMBER(SEARCH("恶灵骑士",E101)),ISNUMBER(SEARCH("黑蝙蝠",E101)),ISNUMBER(SEARCH("血月使徒",E101))),"werewolves","villagers"))</f>
      </c>
      <c r="M101" s="0">
        <f>IF(F101="","",IF(ROUND(F101,2)=5,"win","loss"))</f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>
        <f>IF(D101="","",IFERROR(LOOKUP(2,1/(($D$2:$D$1001=D101)*($M$2:$M$1001="win")),$L$2:$L$1001),""))</f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>
        <f>IF(E102="","",IF(OR(ISNUMBER(SEARCH("狼",E102)),ISNUMBER(SEARCH("石像鬼",E102)),ISNUMBER(SEARCH("恶灵骑士",E102)),ISNUMBER(SEARCH("黑蝙蝠",E102)),ISNUMBER(SEARCH("血月使徒",E102))),"werewolves","villagers"))</f>
      </c>
      <c r="M102" s="0">
        <f>IF(F102="","",IF(ROUND(F102,2)=5,"win","loss"))</f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>
        <f>IF(D102="","",IFERROR(LOOKUP(2,1/(($D$2:$D$1001=D102)*($M$2:$M$1001="win")),$L$2:$L$1001),""))</f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>
        <f>IF(E103="","",IF(OR(ISNUMBER(SEARCH("狼",E103)),ISNUMBER(SEARCH("石像鬼",E103)),ISNUMBER(SEARCH("恶灵骑士",E103)),ISNUMBER(SEARCH("黑蝙蝠",E103)),ISNUMBER(SEARCH("血月使徒",E103))),"werewolves","villagers"))</f>
      </c>
      <c r="M103" s="0">
        <f>IF(F103="","",IF(ROUND(F103,2)=5,"win","loss"))</f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>
        <f>IF(D103="","",IFERROR(LOOKUP(2,1/(($D$2:$D$1001=D103)*($M$2:$M$1001="win")),$L$2:$L$1001),""))</f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>
        <f>IF(E104="","",IF(OR(ISNUMBER(SEARCH("狼",E104)),ISNUMBER(SEARCH("石像鬼",E104)),ISNUMBER(SEARCH("恶灵骑士",E104)),ISNUMBER(SEARCH("黑蝙蝠",E104)),ISNUMBER(SEARCH("血月使徒",E104))),"werewolves","villagers"))</f>
      </c>
      <c r="M104" s="0">
        <f>IF(F104="","",IF(ROUND(F104,2)=5,"win","loss"))</f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>
        <f>IF(D104="","",IFERROR(LOOKUP(2,1/(($D$2:$D$1001=D104)*($M$2:$M$1001="win")),$L$2:$L$1001),""))</f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>
        <f>IF(E105="","",IF(OR(ISNUMBER(SEARCH("狼",E105)),ISNUMBER(SEARCH("石像鬼",E105)),ISNUMBER(SEARCH("恶灵骑士",E105)),ISNUMBER(SEARCH("黑蝙蝠",E105)),ISNUMBER(SEARCH("血月使徒",E105))),"werewolves","villagers"))</f>
      </c>
      <c r="M105" s="0">
        <f>IF(F105="","",IF(ROUND(F105,2)=5,"win","loss"))</f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>
        <f>IF(D105="","",IFERROR(LOOKUP(2,1/(($D$2:$D$1001=D105)*($M$2:$M$1001="win")),$L$2:$L$1001),""))</f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>
        <f>IF(E106="","",IF(OR(ISNUMBER(SEARCH("狼",E106)),ISNUMBER(SEARCH("石像鬼",E106)),ISNUMBER(SEARCH("恶灵骑士",E106)),ISNUMBER(SEARCH("黑蝙蝠",E106)),ISNUMBER(SEARCH("血月使徒",E106))),"werewolves","villagers"))</f>
      </c>
      <c r="M106" s="0">
        <f>IF(F106="","",IF(ROUND(F106,2)=5,"win","loss"))</f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>
        <f>IF(D106="","",IFERROR(LOOKUP(2,1/(($D$2:$D$1001=D106)*($M$2:$M$1001="win")),$L$2:$L$1001),""))</f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>
        <f>IF(E107="","",IF(OR(ISNUMBER(SEARCH("狼",E107)),ISNUMBER(SEARCH("石像鬼",E107)),ISNUMBER(SEARCH("恶灵骑士",E107)),ISNUMBER(SEARCH("黑蝙蝠",E107)),ISNUMBER(SEARCH("血月使徒",E107))),"werewolves","villagers"))</f>
      </c>
      <c r="M107" s="0">
        <f>IF(F107="","",IF(ROUND(F107,2)=5,"win","loss"))</f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>
        <f>IF(D107="","",IFERROR(LOOKUP(2,1/(($D$2:$D$1001=D107)*($M$2:$M$1001="win")),$L$2:$L$1001),""))</f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>
        <f>IF(E108="","",IF(OR(ISNUMBER(SEARCH("狼",E108)),ISNUMBER(SEARCH("石像鬼",E108)),ISNUMBER(SEARCH("恶灵骑士",E108)),ISNUMBER(SEARCH("黑蝙蝠",E108)),ISNUMBER(SEARCH("血月使徒",E108))),"werewolves","villagers"))</f>
      </c>
      <c r="M108" s="0">
        <f>IF(F108="","",IF(ROUND(F108,2)=5,"win","loss"))</f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>
        <f>IF(D108="","",IFERROR(LOOKUP(2,1/(($D$2:$D$1001=D108)*($M$2:$M$1001="win")),$L$2:$L$1001),""))</f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>
        <f>IF(E109="","",IF(OR(ISNUMBER(SEARCH("狼",E109)),ISNUMBER(SEARCH("石像鬼",E109)),ISNUMBER(SEARCH("恶灵骑士",E109)),ISNUMBER(SEARCH("黑蝙蝠",E109)),ISNUMBER(SEARCH("血月使徒",E109))),"werewolves","villagers"))</f>
      </c>
      <c r="M109" s="0">
        <f>IF(F109="","",IF(ROUND(F109,2)=5,"win","loss"))</f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>
        <f>IF(D109="","",IFERROR(LOOKUP(2,1/(($D$2:$D$1001=D109)*($M$2:$M$1001="win")),$L$2:$L$1001),""))</f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>
        <f>IF(E110="","",IF(OR(ISNUMBER(SEARCH("狼",E110)),ISNUMBER(SEARCH("石像鬼",E110)),ISNUMBER(SEARCH("恶灵骑士",E110)),ISNUMBER(SEARCH("黑蝙蝠",E110)),ISNUMBER(SEARCH("血月使徒",E110))),"werewolves","villagers"))</f>
      </c>
      <c r="M110" s="0">
        <f>IF(F110="","",IF(ROUND(F110,2)=5,"win","loss"))</f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>
        <f>IF(D110="","",IFERROR(LOOKUP(2,1/(($D$2:$D$1001=D110)*($M$2:$M$1001="win")),$L$2:$L$1001),""))</f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>
        <f>IF(E111="","",IF(OR(ISNUMBER(SEARCH("狼",E111)),ISNUMBER(SEARCH("石像鬼",E111)),ISNUMBER(SEARCH("恶灵骑士",E111)),ISNUMBER(SEARCH("黑蝙蝠",E111)),ISNUMBER(SEARCH("血月使徒",E111))),"werewolves","villagers"))</f>
      </c>
      <c r="M111" s="0">
        <f>IF(F111="","",IF(ROUND(F111,2)=5,"win","loss"))</f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>
        <f>IF(D111="","",IFERROR(LOOKUP(2,1/(($D$2:$D$1001=D111)*($M$2:$M$1001="win")),$L$2:$L$1001),""))</f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>
        <f>IF(E112="","",IF(OR(ISNUMBER(SEARCH("狼",E112)),ISNUMBER(SEARCH("石像鬼",E112)),ISNUMBER(SEARCH("恶灵骑士",E112)),ISNUMBER(SEARCH("黑蝙蝠",E112)),ISNUMBER(SEARCH("血月使徒",E112))),"werewolves","villagers"))</f>
      </c>
      <c r="M112" s="0">
        <f>IF(F112="","",IF(ROUND(F112,2)=5,"win","loss"))</f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>
        <f>IF(D112="","",IFERROR(LOOKUP(2,1/(($D$2:$D$1001=D112)*($M$2:$M$1001="win")),$L$2:$L$1001),""))</f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>
        <f>IF(E113="","",IF(OR(ISNUMBER(SEARCH("狼",E113)),ISNUMBER(SEARCH("石像鬼",E113)),ISNUMBER(SEARCH("恶灵骑士",E113)),ISNUMBER(SEARCH("黑蝙蝠",E113)),ISNUMBER(SEARCH("血月使徒",E113))),"werewolves","villagers"))</f>
      </c>
      <c r="M113" s="0">
        <f>IF(F113="","",IF(ROUND(F113,2)=5,"win","loss"))</f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>
        <f>IF(D113="","",IFERROR(LOOKUP(2,1/(($D$2:$D$1001=D113)*($M$2:$M$1001="win")),$L$2:$L$1001),""))</f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>
        <f>IF(E114="","",IF(OR(ISNUMBER(SEARCH("狼",E114)),ISNUMBER(SEARCH("石像鬼",E114)),ISNUMBER(SEARCH("恶灵骑士",E114)),ISNUMBER(SEARCH("黑蝙蝠",E114)),ISNUMBER(SEARCH("血月使徒",E114))),"werewolves","villagers"))</f>
      </c>
      <c r="M114" s="0">
        <f>IF(F114="","",IF(ROUND(F114,2)=5,"win","loss"))</f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>
        <f>IF(D114="","",IFERROR(LOOKUP(2,1/(($D$2:$D$1001=D114)*($M$2:$M$1001="win")),$L$2:$L$1001),""))</f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>
        <f>IF(E115="","",IF(OR(ISNUMBER(SEARCH("狼",E115)),ISNUMBER(SEARCH("石像鬼",E115)),ISNUMBER(SEARCH("恶灵骑士",E115)),ISNUMBER(SEARCH("黑蝙蝠",E115)),ISNUMBER(SEARCH("血月使徒",E115))),"werewolves","villagers"))</f>
      </c>
      <c r="M115" s="0">
        <f>IF(F115="","",IF(ROUND(F115,2)=5,"win","loss"))</f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>
        <f>IF(D115="","",IFERROR(LOOKUP(2,1/(($D$2:$D$1001=D115)*($M$2:$M$1001="win")),$L$2:$L$1001),""))</f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>
        <f>IF(E116="","",IF(OR(ISNUMBER(SEARCH("狼",E116)),ISNUMBER(SEARCH("石像鬼",E116)),ISNUMBER(SEARCH("恶灵骑士",E116)),ISNUMBER(SEARCH("黑蝙蝠",E116)),ISNUMBER(SEARCH("血月使徒",E116))),"werewolves","villagers"))</f>
      </c>
      <c r="M116" s="0">
        <f>IF(F116="","",IF(ROUND(F116,2)=5,"win","loss"))</f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>
        <f>IF(D116="","",IFERROR(LOOKUP(2,1/(($D$2:$D$1001=D116)*($M$2:$M$1001="win")),$L$2:$L$1001),""))</f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>
        <f>IF(E117="","",IF(OR(ISNUMBER(SEARCH("狼",E117)),ISNUMBER(SEARCH("石像鬼",E117)),ISNUMBER(SEARCH("恶灵骑士",E117)),ISNUMBER(SEARCH("黑蝙蝠",E117)),ISNUMBER(SEARCH("血月使徒",E117))),"werewolves","villagers"))</f>
      </c>
      <c r="M117" s="0">
        <f>IF(F117="","",IF(ROUND(F117,2)=5,"win","loss"))</f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>
        <f>IF(D117="","",IFERROR(LOOKUP(2,1/(($D$2:$D$1001=D117)*($M$2:$M$1001="win")),$L$2:$L$1001),""))</f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>
        <f>IF(E118="","",IF(OR(ISNUMBER(SEARCH("狼",E118)),ISNUMBER(SEARCH("石像鬼",E118)),ISNUMBER(SEARCH("恶灵骑士",E118)),ISNUMBER(SEARCH("黑蝙蝠",E118)),ISNUMBER(SEARCH("血月使徒",E118))),"werewolves","villagers"))</f>
      </c>
      <c r="M118" s="0">
        <f>IF(F118="","",IF(ROUND(F118,2)=5,"win","loss"))</f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>
        <f>IF(D118="","",IFERROR(LOOKUP(2,1/(($D$2:$D$1001=D118)*($M$2:$M$1001="win")),$L$2:$L$1001),""))</f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>
        <f>IF(E119="","",IF(OR(ISNUMBER(SEARCH("狼",E119)),ISNUMBER(SEARCH("石像鬼",E119)),ISNUMBER(SEARCH("恶灵骑士",E119)),ISNUMBER(SEARCH("黑蝙蝠",E119)),ISNUMBER(SEARCH("血月使徒",E119))),"werewolves","villagers"))</f>
      </c>
      <c r="M119" s="0">
        <f>IF(F119="","",IF(ROUND(F119,2)=5,"win","loss"))</f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>
        <f>IF(D119="","",IFERROR(LOOKUP(2,1/(($D$2:$D$1001=D119)*($M$2:$M$1001="win")),$L$2:$L$1001),""))</f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>
        <f>IF(E120="","",IF(OR(ISNUMBER(SEARCH("狼",E120)),ISNUMBER(SEARCH("石像鬼",E120)),ISNUMBER(SEARCH("恶灵骑士",E120)),ISNUMBER(SEARCH("黑蝙蝠",E120)),ISNUMBER(SEARCH("血月使徒",E120))),"werewolves","villagers"))</f>
      </c>
      <c r="M120" s="0">
        <f>IF(F120="","",IF(ROUND(F120,2)=5,"win","loss"))</f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>
        <f>IF(D120="","",IFERROR(LOOKUP(2,1/(($D$2:$D$1001=D120)*($M$2:$M$1001="win")),$L$2:$L$1001),""))</f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>
        <f>IF(E121="","",IF(OR(ISNUMBER(SEARCH("狼",E121)),ISNUMBER(SEARCH("石像鬼",E121)),ISNUMBER(SEARCH("恶灵骑士",E121)),ISNUMBER(SEARCH("黑蝙蝠",E121)),ISNUMBER(SEARCH("血月使徒",E121))),"werewolves","villagers"))</f>
      </c>
      <c r="M121" s="0">
        <f>IF(F121="","",IF(ROUND(F121,2)=5,"win","loss"))</f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>
        <f>IF(D121="","",IFERROR(LOOKUP(2,1/(($D$2:$D$1001=D121)*($M$2:$M$1001="win")),$L$2:$L$1001),""))</f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>
        <f>IF(E122="","",IF(OR(ISNUMBER(SEARCH("狼",E122)),ISNUMBER(SEARCH("石像鬼",E122)),ISNUMBER(SEARCH("恶灵骑士",E122)),ISNUMBER(SEARCH("黑蝙蝠",E122)),ISNUMBER(SEARCH("血月使徒",E122))),"werewolves","villagers"))</f>
      </c>
      <c r="M122" s="0">
        <f>IF(F122="","",IF(ROUND(F122,2)=5,"win","loss"))</f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>
        <f>IF(D122="","",IFERROR(LOOKUP(2,1/(($D$2:$D$1001=D122)*($M$2:$M$1001="win")),$L$2:$L$1001),""))</f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>
        <f>IF(E123="","",IF(OR(ISNUMBER(SEARCH("狼",E123)),ISNUMBER(SEARCH("石像鬼",E123)),ISNUMBER(SEARCH("恶灵骑士",E123)),ISNUMBER(SEARCH("黑蝙蝠",E123)),ISNUMBER(SEARCH("血月使徒",E123))),"werewolves","villagers"))</f>
      </c>
      <c r="M123" s="0">
        <f>IF(F123="","",IF(ROUND(F123,2)=5,"win","loss"))</f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>
        <f>IF(D123="","",IFERROR(LOOKUP(2,1/(($D$2:$D$1001=D123)*($M$2:$M$1001="win")),$L$2:$L$1001),""))</f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>
        <f>IF(E124="","",IF(OR(ISNUMBER(SEARCH("狼",E124)),ISNUMBER(SEARCH("石像鬼",E124)),ISNUMBER(SEARCH("恶灵骑士",E124)),ISNUMBER(SEARCH("黑蝙蝠",E124)),ISNUMBER(SEARCH("血月使徒",E124))),"werewolves","villagers"))</f>
      </c>
      <c r="M124" s="0">
        <f>IF(F124="","",IF(ROUND(F124,2)=5,"win","loss"))</f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>
        <f>IF(D124="","",IFERROR(LOOKUP(2,1/(($D$2:$D$1001=D124)*($M$2:$M$1001="win")),$L$2:$L$1001),""))</f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>
        <f>IF(E125="","",IF(OR(ISNUMBER(SEARCH("狼",E125)),ISNUMBER(SEARCH("石像鬼",E125)),ISNUMBER(SEARCH("恶灵骑士",E125)),ISNUMBER(SEARCH("黑蝙蝠",E125)),ISNUMBER(SEARCH("血月使徒",E125))),"werewolves","villagers"))</f>
      </c>
      <c r="M125" s="0">
        <f>IF(F125="","",IF(ROUND(F125,2)=5,"win","loss"))</f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>
        <f>IF(D125="","",IFERROR(LOOKUP(2,1/(($D$2:$D$1001=D125)*($M$2:$M$1001="win")),$L$2:$L$1001),""))</f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>
        <f>IF(E126="","",IF(OR(ISNUMBER(SEARCH("狼",E126)),ISNUMBER(SEARCH("石像鬼",E126)),ISNUMBER(SEARCH("恶灵骑士",E126)),ISNUMBER(SEARCH("黑蝙蝠",E126)),ISNUMBER(SEARCH("血月使徒",E126))),"werewolves","villagers"))</f>
      </c>
      <c r="M126" s="0">
        <f>IF(F126="","",IF(ROUND(F126,2)=5,"win","loss"))</f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>
        <f>IF(D126="","",IFERROR(LOOKUP(2,1/(($D$2:$D$1001=D126)*($M$2:$M$1001="win")),$L$2:$L$1001),""))</f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>
        <f>IF(E127="","",IF(OR(ISNUMBER(SEARCH("狼",E127)),ISNUMBER(SEARCH("石像鬼",E127)),ISNUMBER(SEARCH("恶灵骑士",E127)),ISNUMBER(SEARCH("黑蝙蝠",E127)),ISNUMBER(SEARCH("血月使徒",E127))),"werewolves","villagers"))</f>
      </c>
      <c r="M127" s="0">
        <f>IF(F127="","",IF(ROUND(F127,2)=5,"win","loss"))</f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>
        <f>IF(D127="","",IFERROR(LOOKUP(2,1/(($D$2:$D$1001=D127)*($M$2:$M$1001="win")),$L$2:$L$1001),""))</f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>
        <f>IF(E128="","",IF(OR(ISNUMBER(SEARCH("狼",E128)),ISNUMBER(SEARCH("石像鬼",E128)),ISNUMBER(SEARCH("恶灵骑士",E128)),ISNUMBER(SEARCH("黑蝙蝠",E128)),ISNUMBER(SEARCH("血月使徒",E128))),"werewolves","villagers"))</f>
      </c>
      <c r="M128" s="0">
        <f>IF(F128="","",IF(ROUND(F128,2)=5,"win","loss"))</f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>
        <f>IF(D128="","",IFERROR(LOOKUP(2,1/(($D$2:$D$1001=D128)*($M$2:$M$1001="win")),$L$2:$L$1001),""))</f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>
        <f>IF(E129="","",IF(OR(ISNUMBER(SEARCH("狼",E129)),ISNUMBER(SEARCH("石像鬼",E129)),ISNUMBER(SEARCH("恶灵骑士",E129)),ISNUMBER(SEARCH("黑蝙蝠",E129)),ISNUMBER(SEARCH("血月使徒",E129))),"werewolves","villagers"))</f>
      </c>
      <c r="M129" s="0">
        <f>IF(F129="","",IF(ROUND(F129,2)=5,"win","loss"))</f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>
        <f>IF(D129="","",IFERROR(LOOKUP(2,1/(($D$2:$D$1001=D129)*($M$2:$M$1001="win")),$L$2:$L$1001),""))</f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>
        <f>IF(E130="","",IF(OR(ISNUMBER(SEARCH("狼",E130)),ISNUMBER(SEARCH("石像鬼",E130)),ISNUMBER(SEARCH("恶灵骑士",E130)),ISNUMBER(SEARCH("黑蝙蝠",E130)),ISNUMBER(SEARCH("血月使徒",E130))),"werewolves","villagers"))</f>
      </c>
      <c r="M130" s="0">
        <f>IF(F130="","",IF(ROUND(F130,2)=5,"win","loss"))</f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>
        <f>IF(D130="","",IFERROR(LOOKUP(2,1/(($D$2:$D$1001=D130)*($M$2:$M$1001="win")),$L$2:$L$1001),""))</f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>
        <f>IF(E131="","",IF(OR(ISNUMBER(SEARCH("狼",E131)),ISNUMBER(SEARCH("石像鬼",E131)),ISNUMBER(SEARCH("恶灵骑士",E131)),ISNUMBER(SEARCH("黑蝙蝠",E131)),ISNUMBER(SEARCH("血月使徒",E131))),"werewolves","villagers"))</f>
      </c>
      <c r="M131" s="0">
        <f>IF(F131="","",IF(ROUND(F131,2)=5,"win","loss"))</f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>
        <f>IF(D131="","",IFERROR(LOOKUP(2,1/(($D$2:$D$1001=D131)*($M$2:$M$1001="win")),$L$2:$L$1001),""))</f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>
        <f>IF(E132="","",IF(OR(ISNUMBER(SEARCH("狼",E132)),ISNUMBER(SEARCH("石像鬼",E132)),ISNUMBER(SEARCH("恶灵骑士",E132)),ISNUMBER(SEARCH("黑蝙蝠",E132)),ISNUMBER(SEARCH("血月使徒",E132))),"werewolves","villagers"))</f>
      </c>
      <c r="M132" s="0">
        <f>IF(F132="","",IF(ROUND(F132,2)=5,"win","loss"))</f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>
        <f>IF(D132="","",IFERROR(LOOKUP(2,1/(($D$2:$D$1001=D132)*($M$2:$M$1001="win")),$L$2:$L$1001),""))</f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>
        <f>IF(E133="","",IF(OR(ISNUMBER(SEARCH("狼",E133)),ISNUMBER(SEARCH("石像鬼",E133)),ISNUMBER(SEARCH("恶灵骑士",E133)),ISNUMBER(SEARCH("黑蝙蝠",E133)),ISNUMBER(SEARCH("血月使徒",E133))),"werewolves","villagers"))</f>
      </c>
      <c r="M133" s="0">
        <f>IF(F133="","",IF(ROUND(F133,2)=5,"win","loss"))</f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>
        <f>IF(D133="","",IFERROR(LOOKUP(2,1/(($D$2:$D$1001=D133)*($M$2:$M$1001="win")),$L$2:$L$1001),""))</f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>
        <f>IF(E134="","",IF(OR(ISNUMBER(SEARCH("狼",E134)),ISNUMBER(SEARCH("石像鬼",E134)),ISNUMBER(SEARCH("恶灵骑士",E134)),ISNUMBER(SEARCH("黑蝙蝠",E134)),ISNUMBER(SEARCH("血月使徒",E134))),"werewolves","villagers"))</f>
      </c>
      <c r="M134" s="0">
        <f>IF(F134="","",IF(ROUND(F134,2)=5,"win","loss"))</f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>
        <f>IF(D134="","",IFERROR(LOOKUP(2,1/(($D$2:$D$1001=D134)*($M$2:$M$1001="win")),$L$2:$L$1001),""))</f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>
        <f>IF(E135="","",IF(OR(ISNUMBER(SEARCH("狼",E135)),ISNUMBER(SEARCH("石像鬼",E135)),ISNUMBER(SEARCH("恶灵骑士",E135)),ISNUMBER(SEARCH("黑蝙蝠",E135)),ISNUMBER(SEARCH("血月使徒",E135))),"werewolves","villagers"))</f>
      </c>
      <c r="M135" s="0">
        <f>IF(F135="","",IF(ROUND(F135,2)=5,"win","loss"))</f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>
        <f>IF(D135="","",IFERROR(LOOKUP(2,1/(($D$2:$D$1001=D135)*($M$2:$M$1001="win")),$L$2:$L$1001),""))</f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>
        <f>IF(E136="","",IF(OR(ISNUMBER(SEARCH("狼",E136)),ISNUMBER(SEARCH("石像鬼",E136)),ISNUMBER(SEARCH("恶灵骑士",E136)),ISNUMBER(SEARCH("黑蝙蝠",E136)),ISNUMBER(SEARCH("血月使徒",E136))),"werewolves","villagers"))</f>
      </c>
      <c r="M136" s="0">
        <f>IF(F136="","",IF(ROUND(F136,2)=5,"win","loss"))</f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>
        <f>IF(D136="","",IFERROR(LOOKUP(2,1/(($D$2:$D$1001=D136)*($M$2:$M$1001="win")),$L$2:$L$1001),""))</f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>
        <f>IF(E137="","",IF(OR(ISNUMBER(SEARCH("狼",E137)),ISNUMBER(SEARCH("石像鬼",E137)),ISNUMBER(SEARCH("恶灵骑士",E137)),ISNUMBER(SEARCH("黑蝙蝠",E137)),ISNUMBER(SEARCH("血月使徒",E137))),"werewolves","villagers"))</f>
      </c>
      <c r="M137" s="0">
        <f>IF(F137="","",IF(ROUND(F137,2)=5,"win","loss"))</f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>
        <f>IF(D137="","",IFERROR(LOOKUP(2,1/(($D$2:$D$1001=D137)*($M$2:$M$1001="win")),$L$2:$L$1001),""))</f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>
        <f>IF(E138="","",IF(OR(ISNUMBER(SEARCH("狼",E138)),ISNUMBER(SEARCH("石像鬼",E138)),ISNUMBER(SEARCH("恶灵骑士",E138)),ISNUMBER(SEARCH("黑蝙蝠",E138)),ISNUMBER(SEARCH("血月使徒",E138))),"werewolves","villagers"))</f>
      </c>
      <c r="M138" s="0">
        <f>IF(F138="","",IF(ROUND(F138,2)=5,"win","loss"))</f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>
        <f>IF(D138="","",IFERROR(LOOKUP(2,1/(($D$2:$D$1001=D138)*($M$2:$M$1001="win")),$L$2:$L$1001),""))</f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>
        <f>IF(E139="","",IF(OR(ISNUMBER(SEARCH("狼",E139)),ISNUMBER(SEARCH("石像鬼",E139)),ISNUMBER(SEARCH("恶灵骑士",E139)),ISNUMBER(SEARCH("黑蝙蝠",E139)),ISNUMBER(SEARCH("血月使徒",E139))),"werewolves","villagers"))</f>
      </c>
      <c r="M139" s="0">
        <f>IF(F139="","",IF(ROUND(F139,2)=5,"win","loss"))</f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>
        <f>IF(D139="","",IFERROR(LOOKUP(2,1/(($D$2:$D$1001=D139)*($M$2:$M$1001="win")),$L$2:$L$1001),""))</f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>
        <f>IF(E140="","",IF(OR(ISNUMBER(SEARCH("狼",E140)),ISNUMBER(SEARCH("石像鬼",E140)),ISNUMBER(SEARCH("恶灵骑士",E140)),ISNUMBER(SEARCH("黑蝙蝠",E140)),ISNUMBER(SEARCH("血月使徒",E140))),"werewolves","villagers"))</f>
      </c>
      <c r="M140" s="0">
        <f>IF(F140="","",IF(ROUND(F140,2)=5,"win","loss"))</f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>
        <f>IF(D140="","",IFERROR(LOOKUP(2,1/(($D$2:$D$1001=D140)*($M$2:$M$1001="win")),$L$2:$L$1001),""))</f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>
        <f>IF(E141="","",IF(OR(ISNUMBER(SEARCH("狼",E141)),ISNUMBER(SEARCH("石像鬼",E141)),ISNUMBER(SEARCH("恶灵骑士",E141)),ISNUMBER(SEARCH("黑蝙蝠",E141)),ISNUMBER(SEARCH("血月使徒",E141))),"werewolves","villagers"))</f>
      </c>
      <c r="M141" s="0">
        <f>IF(F141="","",IF(ROUND(F141,2)=5,"win","loss"))</f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>
        <f>IF(D141="","",IFERROR(LOOKUP(2,1/(($D$2:$D$1001=D141)*($M$2:$M$1001="win")),$L$2:$L$1001),""))</f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>
        <f>IF(E142="","",IF(OR(ISNUMBER(SEARCH("狼",E142)),ISNUMBER(SEARCH("石像鬼",E142)),ISNUMBER(SEARCH("恶灵骑士",E142)),ISNUMBER(SEARCH("黑蝙蝠",E142)),ISNUMBER(SEARCH("血月使徒",E142))),"werewolves","villagers"))</f>
      </c>
      <c r="M142" s="0">
        <f>IF(F142="","",IF(ROUND(F142,2)=5,"win","loss"))</f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>
        <f>IF(D142="","",IFERROR(LOOKUP(2,1/(($D$2:$D$1001=D142)*($M$2:$M$1001="win")),$L$2:$L$1001),""))</f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>
        <f>IF(E143="","",IF(OR(ISNUMBER(SEARCH("狼",E143)),ISNUMBER(SEARCH("石像鬼",E143)),ISNUMBER(SEARCH("恶灵骑士",E143)),ISNUMBER(SEARCH("黑蝙蝠",E143)),ISNUMBER(SEARCH("血月使徒",E143))),"werewolves","villagers"))</f>
      </c>
      <c r="M143" s="0">
        <f>IF(F143="","",IF(ROUND(F143,2)=5,"win","loss"))</f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>
        <f>IF(D143="","",IFERROR(LOOKUP(2,1/(($D$2:$D$1001=D143)*($M$2:$M$1001="win")),$L$2:$L$1001),""))</f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>
        <f>IF(E144="","",IF(OR(ISNUMBER(SEARCH("狼",E144)),ISNUMBER(SEARCH("石像鬼",E144)),ISNUMBER(SEARCH("恶灵骑士",E144)),ISNUMBER(SEARCH("黑蝙蝠",E144)),ISNUMBER(SEARCH("血月使徒",E144))),"werewolves","villagers"))</f>
      </c>
      <c r="M144" s="0">
        <f>IF(F144="","",IF(ROUND(F144,2)=5,"win","loss"))</f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>
        <f>IF(D144="","",IFERROR(LOOKUP(2,1/(($D$2:$D$1001=D144)*($M$2:$M$1001="win")),$L$2:$L$1001),""))</f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>
        <f>IF(E145="","",IF(OR(ISNUMBER(SEARCH("狼",E145)),ISNUMBER(SEARCH("石像鬼",E145)),ISNUMBER(SEARCH("恶灵骑士",E145)),ISNUMBER(SEARCH("黑蝙蝠",E145)),ISNUMBER(SEARCH("血月使徒",E145))),"werewolves","villagers"))</f>
      </c>
      <c r="M145" s="0">
        <f>IF(F145="","",IF(ROUND(F145,2)=5,"win","loss"))</f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>
        <f>IF(D145="","",IFERROR(LOOKUP(2,1/(($D$2:$D$1001=D145)*($M$2:$M$1001="win")),$L$2:$L$1001),""))</f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>
        <f>IF(E146="","",IF(OR(ISNUMBER(SEARCH("狼",E146)),ISNUMBER(SEARCH("石像鬼",E146)),ISNUMBER(SEARCH("恶灵骑士",E146)),ISNUMBER(SEARCH("黑蝙蝠",E146)),ISNUMBER(SEARCH("血月使徒",E146))),"werewolves","villagers"))</f>
      </c>
      <c r="M146" s="0">
        <f>IF(F146="","",IF(ROUND(F146,2)=5,"win","loss"))</f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>
        <f>IF(D146="","",IFERROR(LOOKUP(2,1/(($D$2:$D$1001=D146)*($M$2:$M$1001="win")),$L$2:$L$1001),""))</f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>
        <f>IF(E147="","",IF(OR(ISNUMBER(SEARCH("狼",E147)),ISNUMBER(SEARCH("石像鬼",E147)),ISNUMBER(SEARCH("恶灵骑士",E147)),ISNUMBER(SEARCH("黑蝙蝠",E147)),ISNUMBER(SEARCH("血月使徒",E147))),"werewolves","villagers"))</f>
      </c>
      <c r="M147" s="0">
        <f>IF(F147="","",IF(ROUND(F147,2)=5,"win","loss"))</f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>
        <f>IF(D147="","",IFERROR(LOOKUP(2,1/(($D$2:$D$1001=D147)*($M$2:$M$1001="win")),$L$2:$L$1001),""))</f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>
        <f>IF(E148="","",IF(OR(ISNUMBER(SEARCH("狼",E148)),ISNUMBER(SEARCH("石像鬼",E148)),ISNUMBER(SEARCH("恶灵骑士",E148)),ISNUMBER(SEARCH("黑蝙蝠",E148)),ISNUMBER(SEARCH("血月使徒",E148))),"werewolves","villagers"))</f>
      </c>
      <c r="M148" s="0">
        <f>IF(F148="","",IF(ROUND(F148,2)=5,"win","loss"))</f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>
        <f>IF(D148="","",IFERROR(LOOKUP(2,1/(($D$2:$D$1001=D148)*($M$2:$M$1001="win")),$L$2:$L$1001),""))</f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 t="inlineStr">
        <is>
          <t xml:space="preserve"/>
        </is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>
        <f>IF(E149="","",IF(OR(ISNUMBER(SEARCH("狼",E149)),ISNUMBER(SEARCH("石像鬼",E149)),ISNUMBER(SEARCH("恶灵骑士",E149)),ISNUMBER(SEARCH("黑蝙蝠",E149)),ISNUMBER(SEARCH("血月使徒",E149))),"werewolves","villagers"))</f>
      </c>
      <c r="M149" s="0">
        <f>IF(F149="","",IF(ROUND(F149,2)=5,"win","loss"))</f>
      </c>
      <c r="N149" s="0" t="inlineStr">
        <is>
          <t xml:space="preserve"/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/>
        </is>
      </c>
      <c r="R149" s="0">
        <f>IF(D149="","",IFERROR(LOOKUP(2,1/(($D$2:$D$1001=D149)*($M$2:$M$1001="win")),$L$2:$L$1001),""))</f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/>
        </is>
      </c>
      <c r="V149" s="0" t="inlineStr">
        <is>
          <t xml:space="preserve"/>
        </is>
      </c>
      <c r="W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>
        <f>IF(E150="","",IF(OR(ISNUMBER(SEARCH("狼",E150)),ISNUMBER(SEARCH("石像鬼",E150)),ISNUMBER(SEARCH("恶灵骑士",E150)),ISNUMBER(SEARCH("黑蝙蝠",E150)),ISNUMBER(SEARCH("血月使徒",E150))),"werewolves","villagers"))</f>
      </c>
      <c r="M150" s="0">
        <f>IF(F150="","",IF(ROUND(F150,2)=5,"win","loss"))</f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>
        <f>IF(D150="","",IFERROR(LOOKUP(2,1/(($D$2:$D$1001=D150)*($M$2:$M$1001="win")),$L$2:$L$1001),""))</f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>
        <f>IF(E151="","",IF(OR(ISNUMBER(SEARCH("狼",E151)),ISNUMBER(SEARCH("石像鬼",E151)),ISNUMBER(SEARCH("恶灵骑士",E151)),ISNUMBER(SEARCH("黑蝙蝠",E151)),ISNUMBER(SEARCH("血月使徒",E151))),"werewolves","villagers"))</f>
      </c>
      <c r="M151" s="0">
        <f>IF(F151="","",IF(ROUND(F151,2)=5,"win","loss"))</f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>
        <f>IF(D151="","",IFERROR(LOOKUP(2,1/(($D$2:$D$1001=D151)*($M$2:$M$1001="win")),$L$2:$L$1001),""))</f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>
        <f>IF(E152="","",IF(OR(ISNUMBER(SEARCH("狼",E152)),ISNUMBER(SEARCH("石像鬼",E152)),ISNUMBER(SEARCH("恶灵骑士",E152)),ISNUMBER(SEARCH("黑蝙蝠",E152)),ISNUMBER(SEARCH("血月使徒",E152))),"werewolves","villagers"))</f>
      </c>
      <c r="M152" s="0">
        <f>IF(F152="","",IF(ROUND(F152,2)=5,"win","loss"))</f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>
        <f>IF(D152="","",IFERROR(LOOKUP(2,1/(($D$2:$D$1001=D152)*($M$2:$M$1001="win")),$L$2:$L$1001),""))</f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>
        <f>IF(E153="","",IF(OR(ISNUMBER(SEARCH("狼",E153)),ISNUMBER(SEARCH("石像鬼",E153)),ISNUMBER(SEARCH("恶灵骑士",E153)),ISNUMBER(SEARCH("黑蝙蝠",E153)),ISNUMBER(SEARCH("血月使徒",E153))),"werewolves","villagers"))</f>
      </c>
      <c r="M153" s="0">
        <f>IF(F153="","",IF(ROUND(F153,2)=5,"win","loss"))</f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>
        <f>IF(D153="","",IFERROR(LOOKUP(2,1/(($D$2:$D$1001=D153)*($M$2:$M$1001="win")),$L$2:$L$1001),""))</f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>
        <f>IF(E154="","",IF(OR(ISNUMBER(SEARCH("狼",E154)),ISNUMBER(SEARCH("石像鬼",E154)),ISNUMBER(SEARCH("恶灵骑士",E154)),ISNUMBER(SEARCH("黑蝙蝠",E154)),ISNUMBER(SEARCH("血月使徒",E154))),"werewolves","villagers"))</f>
      </c>
      <c r="M154" s="0">
        <f>IF(F154="","",IF(ROUND(F154,2)=5,"win","loss"))</f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>
        <f>IF(D154="","",IFERROR(LOOKUP(2,1/(($D$2:$D$1001=D154)*($M$2:$M$1001="win")),$L$2:$L$1001),""))</f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>
        <f>IF(E155="","",IF(OR(ISNUMBER(SEARCH("狼",E155)),ISNUMBER(SEARCH("石像鬼",E155)),ISNUMBER(SEARCH("恶灵骑士",E155)),ISNUMBER(SEARCH("黑蝙蝠",E155)),ISNUMBER(SEARCH("血月使徒",E155))),"werewolves","villagers"))</f>
      </c>
      <c r="M155" s="0">
        <f>IF(F155="","",IF(ROUND(F155,2)=5,"win","loss"))</f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>
        <f>IF(D155="","",IFERROR(LOOKUP(2,1/(($D$2:$D$1001=D155)*($M$2:$M$1001="win")),$L$2:$L$1001),""))</f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 t="inlineStr">
        <is>
          <t xml:space="preserve"/>
        </is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>
        <f>IF(E156="","",IF(OR(ISNUMBER(SEARCH("狼",E156)),ISNUMBER(SEARCH("石像鬼",E156)),ISNUMBER(SEARCH("恶灵骑士",E156)),ISNUMBER(SEARCH("黑蝙蝠",E156)),ISNUMBER(SEARCH("血月使徒",E156))),"werewolves","villagers"))</f>
      </c>
      <c r="M156" s="0">
        <f>IF(F156="","",IF(ROUND(F156,2)=5,"win","loss"))</f>
      </c>
      <c r="N156" s="0" t="inlineStr">
        <is>
          <t xml:space="preserve"/>
        </is>
      </c>
      <c r="O156" s="0" t="inlineStr">
        <is>
          <t xml:space="preserve"/>
        </is>
      </c>
      <c r="P156" s="0" t="inlineStr">
        <is>
          <t xml:space="preserve"/>
        </is>
      </c>
      <c r="Q156" s="0" t="inlineStr">
        <is>
          <t xml:space="preserve"/>
        </is>
      </c>
      <c r="R156" s="0">
        <f>IF(D156="","",IFERROR(LOOKUP(2,1/(($D$2:$D$1001=D156)*($M$2:$M$1001="win")),$L$2:$L$1001),""))</f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>
        <f>IF(E157="","",IF(OR(ISNUMBER(SEARCH("狼",E157)),ISNUMBER(SEARCH("石像鬼",E157)),ISNUMBER(SEARCH("恶灵骑士",E157)),ISNUMBER(SEARCH("黑蝙蝠",E157)),ISNUMBER(SEARCH("血月使徒",E157))),"werewolves","villagers"))</f>
      </c>
      <c r="M157" s="0">
        <f>IF(F157="","",IF(ROUND(F157,2)=5,"win","loss"))</f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>
        <f>IF(D157="","",IFERROR(LOOKUP(2,1/(($D$2:$D$1001=D157)*($M$2:$M$1001="win")),$L$2:$L$1001),""))</f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>
        <f>IF(E158="","",IF(OR(ISNUMBER(SEARCH("狼",E158)),ISNUMBER(SEARCH("石像鬼",E158)),ISNUMBER(SEARCH("恶灵骑士",E158)),ISNUMBER(SEARCH("黑蝙蝠",E158)),ISNUMBER(SEARCH("血月使徒",E158))),"werewolves","villagers"))</f>
      </c>
      <c r="M158" s="0">
        <f>IF(F158="","",IF(ROUND(F158,2)=5,"win","loss"))</f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>
        <f>IF(D158="","",IFERROR(LOOKUP(2,1/(($D$2:$D$1001=D158)*($M$2:$M$1001="win")),$L$2:$L$1001),""))</f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>
        <f>IF(E159="","",IF(OR(ISNUMBER(SEARCH("狼",E159)),ISNUMBER(SEARCH("石像鬼",E159)),ISNUMBER(SEARCH("恶灵骑士",E159)),ISNUMBER(SEARCH("黑蝙蝠",E159)),ISNUMBER(SEARCH("血月使徒",E159))),"werewolves","villagers"))</f>
      </c>
      <c r="M159" s="0">
        <f>IF(F159="","",IF(ROUND(F159,2)=5,"win","loss"))</f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>
        <f>IF(D159="","",IFERROR(LOOKUP(2,1/(($D$2:$D$1001=D159)*($M$2:$M$1001="win")),$L$2:$L$1001),""))</f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>
        <f>IF(E160="","",IF(OR(ISNUMBER(SEARCH("狼",E160)),ISNUMBER(SEARCH("石像鬼",E160)),ISNUMBER(SEARCH("恶灵骑士",E160)),ISNUMBER(SEARCH("黑蝙蝠",E160)),ISNUMBER(SEARCH("血月使徒",E160))),"werewolves","villagers"))</f>
      </c>
      <c r="M160" s="0">
        <f>IF(F160="","",IF(ROUND(F160,2)=5,"win","loss"))</f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>
        <f>IF(D160="","",IFERROR(LOOKUP(2,1/(($D$2:$D$1001=D160)*($M$2:$M$1001="win")),$L$2:$L$1001),""))</f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>
        <f>IF(E161="","",IF(OR(ISNUMBER(SEARCH("狼",E161)),ISNUMBER(SEARCH("石像鬼",E161)),ISNUMBER(SEARCH("恶灵骑士",E161)),ISNUMBER(SEARCH("黑蝙蝠",E161)),ISNUMBER(SEARCH("血月使徒",E161))),"werewolves","villagers"))</f>
      </c>
      <c r="M161" s="0">
        <f>IF(F161="","",IF(ROUND(F161,2)=5,"win","loss"))</f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>
        <f>IF(D161="","",IFERROR(LOOKUP(2,1/(($D$2:$D$1001=D161)*($M$2:$M$1001="win")),$L$2:$L$1001),""))</f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>
        <f>IF(E162="","",IF(OR(ISNUMBER(SEARCH("狼",E162)),ISNUMBER(SEARCH("石像鬼",E162)),ISNUMBER(SEARCH("恶灵骑士",E162)),ISNUMBER(SEARCH("黑蝙蝠",E162)),ISNUMBER(SEARCH("血月使徒",E162))),"werewolves","villagers"))</f>
      </c>
      <c r="M162" s="0">
        <f>IF(F162="","",IF(ROUND(F162,2)=5,"win","loss"))</f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>
        <f>IF(D162="","",IFERROR(LOOKUP(2,1/(($D$2:$D$1001=D162)*($M$2:$M$1001="win")),$L$2:$L$1001),""))</f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>
        <f>IF(E163="","",IF(OR(ISNUMBER(SEARCH("狼",E163)),ISNUMBER(SEARCH("石像鬼",E163)),ISNUMBER(SEARCH("恶灵骑士",E163)),ISNUMBER(SEARCH("黑蝙蝠",E163)),ISNUMBER(SEARCH("血月使徒",E163))),"werewolves","villagers"))</f>
      </c>
      <c r="M163" s="0">
        <f>IF(F163="","",IF(ROUND(F163,2)=5,"win","loss"))</f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>
        <f>IF(D163="","",IFERROR(LOOKUP(2,1/(($D$2:$D$1001=D163)*($M$2:$M$1001="win")),$L$2:$L$1001),""))</f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>
        <f>IF(E164="","",IF(OR(ISNUMBER(SEARCH("狼",E164)),ISNUMBER(SEARCH("石像鬼",E164)),ISNUMBER(SEARCH("恶灵骑士",E164)),ISNUMBER(SEARCH("黑蝙蝠",E164)),ISNUMBER(SEARCH("血月使徒",E164))),"werewolves","villagers"))</f>
      </c>
      <c r="M164" s="0">
        <f>IF(F164="","",IF(ROUND(F164,2)=5,"win","loss"))</f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>
        <f>IF(D164="","",IFERROR(LOOKUP(2,1/(($D$2:$D$1001=D164)*($M$2:$M$1001="win")),$L$2:$L$1001),""))</f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>
        <f>IF(E165="","",IF(OR(ISNUMBER(SEARCH("狼",E165)),ISNUMBER(SEARCH("石像鬼",E165)),ISNUMBER(SEARCH("恶灵骑士",E165)),ISNUMBER(SEARCH("黑蝙蝠",E165)),ISNUMBER(SEARCH("血月使徒",E165))),"werewolves","villagers"))</f>
      </c>
      <c r="M165" s="0">
        <f>IF(F165="","",IF(ROUND(F165,2)=5,"win","loss"))</f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>
        <f>IF(D165="","",IFERROR(LOOKUP(2,1/(($D$2:$D$1001=D165)*($M$2:$M$1001="win")),$L$2:$L$1001),""))</f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>
        <f>IF(E166="","",IF(OR(ISNUMBER(SEARCH("狼",E166)),ISNUMBER(SEARCH("石像鬼",E166)),ISNUMBER(SEARCH("恶灵骑士",E166)),ISNUMBER(SEARCH("黑蝙蝠",E166)),ISNUMBER(SEARCH("血月使徒",E166))),"werewolves","villagers"))</f>
      </c>
      <c r="M166" s="0">
        <f>IF(F166="","",IF(ROUND(F166,2)=5,"win","loss"))</f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>
        <f>IF(D166="","",IFERROR(LOOKUP(2,1/(($D$2:$D$1001=D166)*($M$2:$M$1001="win")),$L$2:$L$1001),""))</f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>
        <f>IF(E167="","",IF(OR(ISNUMBER(SEARCH("狼",E167)),ISNUMBER(SEARCH("石像鬼",E167)),ISNUMBER(SEARCH("恶灵骑士",E167)),ISNUMBER(SEARCH("黑蝙蝠",E167)),ISNUMBER(SEARCH("血月使徒",E167))),"werewolves","villagers"))</f>
      </c>
      <c r="M167" s="0">
        <f>IF(F167="","",IF(ROUND(F167,2)=5,"win","loss"))</f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>
        <f>IF(D167="","",IFERROR(LOOKUP(2,1/(($D$2:$D$1001=D167)*($M$2:$M$1001="win")),$L$2:$L$1001),""))</f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>
        <f>IF(E168="","",IF(OR(ISNUMBER(SEARCH("狼",E168)),ISNUMBER(SEARCH("石像鬼",E168)),ISNUMBER(SEARCH("恶灵骑士",E168)),ISNUMBER(SEARCH("黑蝙蝠",E168)),ISNUMBER(SEARCH("血月使徒",E168))),"werewolves","villagers"))</f>
      </c>
      <c r="M168" s="0">
        <f>IF(F168="","",IF(ROUND(F168,2)=5,"win","loss"))</f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>
        <f>IF(D168="","",IFERROR(LOOKUP(2,1/(($D$2:$D$1001=D168)*($M$2:$M$1001="win")),$L$2:$L$1001),""))</f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>
        <f>IF(E169="","",IF(OR(ISNUMBER(SEARCH("狼",E169)),ISNUMBER(SEARCH("石像鬼",E169)),ISNUMBER(SEARCH("恶灵骑士",E169)),ISNUMBER(SEARCH("黑蝙蝠",E169)),ISNUMBER(SEARCH("血月使徒",E169))),"werewolves","villagers"))</f>
      </c>
      <c r="M169" s="0">
        <f>IF(F169="","",IF(ROUND(F169,2)=5,"win","loss"))</f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>
        <f>IF(D169="","",IFERROR(LOOKUP(2,1/(($D$2:$D$1001=D169)*($M$2:$M$1001="win")),$L$2:$L$1001),""))</f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>
        <f>IF(E170="","",IF(OR(ISNUMBER(SEARCH("狼",E170)),ISNUMBER(SEARCH("石像鬼",E170)),ISNUMBER(SEARCH("恶灵骑士",E170)),ISNUMBER(SEARCH("黑蝙蝠",E170)),ISNUMBER(SEARCH("血月使徒",E170))),"werewolves","villagers"))</f>
      </c>
      <c r="M170" s="0">
        <f>IF(F170="","",IF(ROUND(F170,2)=5,"win","loss"))</f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>
        <f>IF(D170="","",IFERROR(LOOKUP(2,1/(($D$2:$D$1001=D170)*($M$2:$M$1001="win")),$L$2:$L$1001),""))</f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 t="inlineStr">
        <is>
          <t xml:space="preserve"/>
        </is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>
        <f>IF(E171="","",IF(OR(ISNUMBER(SEARCH("狼",E171)),ISNUMBER(SEARCH("石像鬼",E171)),ISNUMBER(SEARCH("恶灵骑士",E171)),ISNUMBER(SEARCH("黑蝙蝠",E171)),ISNUMBER(SEARCH("血月使徒",E171))),"werewolves","villagers"))</f>
      </c>
      <c r="M171" s="0">
        <f>IF(F171="","",IF(ROUND(F171,2)=5,"win","loss"))</f>
      </c>
      <c r="N171" s="0" t="inlineStr">
        <is>
          <t xml:space="preserve"/>
        </is>
      </c>
      <c r="O171" s="0" t="inlineStr">
        <is>
          <t xml:space="preserve"/>
        </is>
      </c>
      <c r="P171" s="0" t="inlineStr">
        <is>
          <t xml:space="preserve"/>
        </is>
      </c>
      <c r="Q171" s="0" t="inlineStr">
        <is>
          <t xml:space="preserve"/>
        </is>
      </c>
      <c r="R171" s="0">
        <f>IF(D171="","",IFERROR(LOOKUP(2,1/(($D$2:$D$1001=D171)*($M$2:$M$1001="win")),$L$2:$L$1001),""))</f>
      </c>
      <c r="S171" s="0" t="inlineStr">
        <is>
          <t xml:space="preserve"/>
        </is>
      </c>
      <c r="T171" s="0" t="inlineStr">
        <is>
          <t xml:space="preserve"/>
        </is>
      </c>
      <c r="U171" s="0" t="inlineStr">
        <is>
          <t xml:space="preserve"/>
        </is>
      </c>
      <c r="V171" s="0" t="inlineStr">
        <is>
          <t xml:space="preserve"/>
        </is>
      </c>
      <c r="W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>
        <f>IF(E172="","",IF(OR(ISNUMBER(SEARCH("狼",E172)),ISNUMBER(SEARCH("石像鬼",E172)),ISNUMBER(SEARCH("恶灵骑士",E172)),ISNUMBER(SEARCH("黑蝙蝠",E172)),ISNUMBER(SEARCH("血月使徒",E172))),"werewolves","villagers"))</f>
      </c>
      <c r="M172" s="0">
        <f>IF(F172="","",IF(ROUND(F172,2)=5,"win","loss"))</f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>
        <f>IF(D172="","",IFERROR(LOOKUP(2,1/(($D$2:$D$1001=D172)*($M$2:$M$1001="win")),$L$2:$L$1001),""))</f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>
        <f>IF(E173="","",IF(OR(ISNUMBER(SEARCH("狼",E173)),ISNUMBER(SEARCH("石像鬼",E173)),ISNUMBER(SEARCH("恶灵骑士",E173)),ISNUMBER(SEARCH("黑蝙蝠",E173)),ISNUMBER(SEARCH("血月使徒",E173))),"werewolves","villagers"))</f>
      </c>
      <c r="M173" s="0">
        <f>IF(F173="","",IF(ROUND(F173,2)=5,"win","loss"))</f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>
        <f>IF(D173="","",IFERROR(LOOKUP(2,1/(($D$2:$D$1001=D173)*($M$2:$M$1001="win")),$L$2:$L$1001),""))</f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>
        <f>IF(E174="","",IF(OR(ISNUMBER(SEARCH("狼",E174)),ISNUMBER(SEARCH("石像鬼",E174)),ISNUMBER(SEARCH("恶灵骑士",E174)),ISNUMBER(SEARCH("黑蝙蝠",E174)),ISNUMBER(SEARCH("血月使徒",E174))),"werewolves","villagers"))</f>
      </c>
      <c r="M174" s="0">
        <f>IF(F174="","",IF(ROUND(F174,2)=5,"win","loss"))</f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>
        <f>IF(D174="","",IFERROR(LOOKUP(2,1/(($D$2:$D$1001=D174)*($M$2:$M$1001="win")),$L$2:$L$1001),""))</f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>
        <f>IF(E175="","",IF(OR(ISNUMBER(SEARCH("狼",E175)),ISNUMBER(SEARCH("石像鬼",E175)),ISNUMBER(SEARCH("恶灵骑士",E175)),ISNUMBER(SEARCH("黑蝙蝠",E175)),ISNUMBER(SEARCH("血月使徒",E175))),"werewolves","villagers"))</f>
      </c>
      <c r="M175" s="0">
        <f>IF(F175="","",IF(ROUND(F175,2)=5,"win","loss"))</f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>
        <f>IF(D175="","",IFERROR(LOOKUP(2,1/(($D$2:$D$1001=D175)*($M$2:$M$1001="win")),$L$2:$L$1001),""))</f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 t="inlineStr">
        <is>
          <t xml:space="preserve"/>
        </is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>
        <f>IF(E176="","",IF(OR(ISNUMBER(SEARCH("狼",E176)),ISNUMBER(SEARCH("石像鬼",E176)),ISNUMBER(SEARCH("恶灵骑士",E176)),ISNUMBER(SEARCH("黑蝙蝠",E176)),ISNUMBER(SEARCH("血月使徒",E176))),"werewolves","villagers"))</f>
      </c>
      <c r="M176" s="0">
        <f>IF(F176="","",IF(ROUND(F176,2)=5,"win","loss"))</f>
      </c>
      <c r="N176" s="0" t="inlineStr">
        <is>
          <t xml:space="preserve"/>
        </is>
      </c>
      <c r="O176" s="0" t="inlineStr">
        <is>
          <t xml:space="preserve"/>
        </is>
      </c>
      <c r="P176" s="0" t="inlineStr">
        <is>
          <t xml:space="preserve"/>
        </is>
      </c>
      <c r="Q176" s="0" t="inlineStr">
        <is>
          <t xml:space="preserve"/>
        </is>
      </c>
      <c r="R176" s="0">
        <f>IF(D176="","",IFERROR(LOOKUP(2,1/(($D$2:$D$1001=D176)*($M$2:$M$1001="win")),$L$2:$L$1001),""))</f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/>
        </is>
      </c>
      <c r="W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 t="inlineStr">
        <is>
          <t xml:space="preserve"/>
        </is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>
        <f>IF(E177="","",IF(OR(ISNUMBER(SEARCH("狼",E177)),ISNUMBER(SEARCH("石像鬼",E177)),ISNUMBER(SEARCH("恶灵骑士",E177)),ISNUMBER(SEARCH("黑蝙蝠",E177)),ISNUMBER(SEARCH("血月使徒",E177))),"werewolves","villagers"))</f>
      </c>
      <c r="M177" s="0">
        <f>IF(F177="","",IF(ROUND(F177,2)=5,"win","loss"))</f>
      </c>
      <c r="N177" s="0" t="inlineStr">
        <is>
          <t xml:space="preserve"/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/>
        </is>
      </c>
      <c r="R177" s="0">
        <f>IF(D177="","",IFERROR(LOOKUP(2,1/(($D$2:$D$1001=D177)*($M$2:$M$1001="win")),$L$2:$L$1001),""))</f>
      </c>
      <c r="S177" s="0" t="inlineStr">
        <is>
          <t xml:space="preserve"/>
        </is>
      </c>
      <c r="T177" s="0" t="inlineStr">
        <is>
          <t xml:space="preserve"/>
        </is>
      </c>
      <c r="U177" s="0" t="inlineStr">
        <is>
          <t xml:space="preserve"/>
        </is>
      </c>
      <c r="V177" s="0" t="inlineStr">
        <is>
          <t xml:space="preserve"/>
        </is>
      </c>
      <c r="W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 t="inlineStr">
        <is>
          <t xml:space="preserve"/>
        </is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>
        <f>IF(E178="","",IF(OR(ISNUMBER(SEARCH("狼",E178)),ISNUMBER(SEARCH("石像鬼",E178)),ISNUMBER(SEARCH("恶灵骑士",E178)),ISNUMBER(SEARCH("黑蝙蝠",E178)),ISNUMBER(SEARCH("血月使徒",E178))),"werewolves","villagers"))</f>
      </c>
      <c r="M178" s="0">
        <f>IF(F178="","",IF(ROUND(F178,2)=5,"win","loss"))</f>
      </c>
      <c r="N178" s="0" t="inlineStr">
        <is>
          <t xml:space="preserve"/>
        </is>
      </c>
      <c r="O178" s="0" t="inlineStr">
        <is>
          <t xml:space="preserve"/>
        </is>
      </c>
      <c r="P178" s="0" t="inlineStr">
        <is>
          <t xml:space="preserve"/>
        </is>
      </c>
      <c r="Q178" s="0" t="inlineStr">
        <is>
          <t xml:space="preserve"/>
        </is>
      </c>
      <c r="R178" s="0">
        <f>IF(D178="","",IFERROR(LOOKUP(2,1/(($D$2:$D$1001=D178)*($M$2:$M$1001="win")),$L$2:$L$1001),""))</f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/>
        </is>
      </c>
      <c r="W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>
        <f>IF(E179="","",IF(OR(ISNUMBER(SEARCH("狼",E179)),ISNUMBER(SEARCH("石像鬼",E179)),ISNUMBER(SEARCH("恶灵骑士",E179)),ISNUMBER(SEARCH("黑蝙蝠",E179)),ISNUMBER(SEARCH("血月使徒",E179))),"werewolves","villagers"))</f>
      </c>
      <c r="M179" s="0">
        <f>IF(F179="","",IF(ROUND(F179,2)=5,"win","loss"))</f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>
        <f>IF(D179="","",IFERROR(LOOKUP(2,1/(($D$2:$D$1001=D179)*($M$2:$M$1001="win")),$L$2:$L$1001),""))</f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>
        <f>IF(E180="","",IF(OR(ISNUMBER(SEARCH("狼",E180)),ISNUMBER(SEARCH("石像鬼",E180)),ISNUMBER(SEARCH("恶灵骑士",E180)),ISNUMBER(SEARCH("黑蝙蝠",E180)),ISNUMBER(SEARCH("血月使徒",E180))),"werewolves","villagers"))</f>
      </c>
      <c r="M180" s="0">
        <f>IF(F180="","",IF(ROUND(F180,2)=5,"win","loss"))</f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>
        <f>IF(D180="","",IFERROR(LOOKUP(2,1/(($D$2:$D$1001=D180)*($M$2:$M$1001="win")),$L$2:$L$1001),""))</f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 t="inlineStr">
        <is>
          <t xml:space="preserve"/>
        </is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>
        <f>IF(E181="","",IF(OR(ISNUMBER(SEARCH("狼",E181)),ISNUMBER(SEARCH("石像鬼",E181)),ISNUMBER(SEARCH("恶灵骑士",E181)),ISNUMBER(SEARCH("黑蝙蝠",E181)),ISNUMBER(SEARCH("血月使徒",E181))),"werewolves","villagers"))</f>
      </c>
      <c r="M181" s="0">
        <f>IF(F181="","",IF(ROUND(F181,2)=5,"win","loss"))</f>
      </c>
      <c r="N181" s="0" t="inlineStr">
        <is>
          <t xml:space="preserve"/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/>
        </is>
      </c>
      <c r="R181" s="0">
        <f>IF(D181="","",IFERROR(LOOKUP(2,1/(($D$2:$D$1001=D181)*($M$2:$M$1001="win")),$L$2:$L$1001),""))</f>
      </c>
      <c r="S181" s="0" t="inlineStr">
        <is>
          <t xml:space="preserve"/>
        </is>
      </c>
      <c r="T181" s="0" t="inlineStr">
        <is>
          <t xml:space="preserve"/>
        </is>
      </c>
      <c r="U181" s="0" t="inlineStr">
        <is>
          <t xml:space="preserve"/>
        </is>
      </c>
      <c r="V181" s="0" t="inlineStr">
        <is>
          <t xml:space="preserve"/>
        </is>
      </c>
      <c r="W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>
        <f>IF(E182="","",IF(OR(ISNUMBER(SEARCH("狼",E182)),ISNUMBER(SEARCH("石像鬼",E182)),ISNUMBER(SEARCH("恶灵骑士",E182)),ISNUMBER(SEARCH("黑蝙蝠",E182)),ISNUMBER(SEARCH("血月使徒",E182))),"werewolves","villagers"))</f>
      </c>
      <c r="M182" s="0">
        <f>IF(F182="","",IF(ROUND(F182,2)=5,"win","loss"))</f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>
        <f>IF(D182="","",IFERROR(LOOKUP(2,1/(($D$2:$D$1001=D182)*($M$2:$M$1001="win")),$L$2:$L$1001),""))</f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 t="inlineStr">
        <is>
          <t xml:space="preserve"/>
        </is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>
        <f>IF(E183="","",IF(OR(ISNUMBER(SEARCH("狼",E183)),ISNUMBER(SEARCH("石像鬼",E183)),ISNUMBER(SEARCH("恶灵骑士",E183)),ISNUMBER(SEARCH("黑蝙蝠",E183)),ISNUMBER(SEARCH("血月使徒",E183))),"werewolves","villagers"))</f>
      </c>
      <c r="M183" s="0">
        <f>IF(F183="","",IF(ROUND(F183,2)=5,"win","loss"))</f>
      </c>
      <c r="N183" s="0" t="inlineStr">
        <is>
          <t xml:space="preserve"/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/>
        </is>
      </c>
      <c r="R183" s="0">
        <f>IF(D183="","",IFERROR(LOOKUP(2,1/(($D$2:$D$1001=D183)*($M$2:$M$1001="win")),$L$2:$L$1001),""))</f>
      </c>
      <c r="S183" s="0" t="inlineStr">
        <is>
          <t xml:space="preserve"/>
        </is>
      </c>
      <c r="T183" s="0" t="inlineStr">
        <is>
          <t xml:space="preserve"/>
        </is>
      </c>
      <c r="U183" s="0" t="inlineStr">
        <is>
          <t xml:space="preserve"/>
        </is>
      </c>
      <c r="V183" s="0" t="inlineStr">
        <is>
          <t xml:space="preserve"/>
        </is>
      </c>
      <c r="W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 t="inlineStr">
        <is>
          <t xml:space="preserve"/>
        </is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>
        <f>IF(E184="","",IF(OR(ISNUMBER(SEARCH("狼",E184)),ISNUMBER(SEARCH("石像鬼",E184)),ISNUMBER(SEARCH("恶灵骑士",E184)),ISNUMBER(SEARCH("黑蝙蝠",E184)),ISNUMBER(SEARCH("血月使徒",E184))),"werewolves","villagers"))</f>
      </c>
      <c r="M184" s="0">
        <f>IF(F184="","",IF(ROUND(F184,2)=5,"win","loss"))</f>
      </c>
      <c r="N184" s="0" t="inlineStr">
        <is>
          <t xml:space="preserve"/>
        </is>
      </c>
      <c r="O184" s="0" t="inlineStr">
        <is>
          <t xml:space="preserve"/>
        </is>
      </c>
      <c r="P184" s="0" t="inlineStr">
        <is>
          <t xml:space="preserve"/>
        </is>
      </c>
      <c r="Q184" s="0" t="inlineStr">
        <is>
          <t xml:space="preserve"/>
        </is>
      </c>
      <c r="R184" s="0">
        <f>IF(D184="","",IFERROR(LOOKUP(2,1/(($D$2:$D$1001=D184)*($M$2:$M$1001="win")),$L$2:$L$1001),""))</f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/>
        </is>
      </c>
      <c r="W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>
        <f>IF(E185="","",IF(OR(ISNUMBER(SEARCH("狼",E185)),ISNUMBER(SEARCH("石像鬼",E185)),ISNUMBER(SEARCH("恶灵骑士",E185)),ISNUMBER(SEARCH("黑蝙蝠",E185)),ISNUMBER(SEARCH("血月使徒",E185))),"werewolves","villagers"))</f>
      </c>
      <c r="M185" s="0">
        <f>IF(F185="","",IF(ROUND(F185,2)=5,"win","loss"))</f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>
        <f>IF(D185="","",IFERROR(LOOKUP(2,1/(($D$2:$D$1001=D185)*($M$2:$M$1001="win")),$L$2:$L$1001),""))</f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 t="inlineStr">
        <is>
          <t xml:space="preserve"/>
        </is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>
        <f>IF(E186="","",IF(OR(ISNUMBER(SEARCH("狼",E186)),ISNUMBER(SEARCH("石像鬼",E186)),ISNUMBER(SEARCH("恶灵骑士",E186)),ISNUMBER(SEARCH("黑蝙蝠",E186)),ISNUMBER(SEARCH("血月使徒",E186))),"werewolves","villagers"))</f>
      </c>
      <c r="M186" s="0">
        <f>IF(F186="","",IF(ROUND(F186,2)=5,"win","loss"))</f>
      </c>
      <c r="N186" s="0" t="inlineStr">
        <is>
          <t xml:space="preserve"/>
        </is>
      </c>
      <c r="O186" s="0" t="inlineStr">
        <is>
          <t xml:space="preserve"/>
        </is>
      </c>
      <c r="P186" s="0" t="inlineStr">
        <is>
          <t xml:space="preserve"/>
        </is>
      </c>
      <c r="Q186" s="0" t="inlineStr">
        <is>
          <t xml:space="preserve"/>
        </is>
      </c>
      <c r="R186" s="0">
        <f>IF(D186="","",IFERROR(LOOKUP(2,1/(($D$2:$D$1001=D186)*($M$2:$M$1001="win")),$L$2:$L$1001),""))</f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/>
        </is>
      </c>
      <c r="W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>
        <f>IF(E187="","",IF(OR(ISNUMBER(SEARCH("狼",E187)),ISNUMBER(SEARCH("石像鬼",E187)),ISNUMBER(SEARCH("恶灵骑士",E187)),ISNUMBER(SEARCH("黑蝙蝠",E187)),ISNUMBER(SEARCH("血月使徒",E187))),"werewolves","villagers"))</f>
      </c>
      <c r="M187" s="0">
        <f>IF(F187="","",IF(ROUND(F187,2)=5,"win","loss"))</f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>
        <f>IF(D187="","",IFERROR(LOOKUP(2,1/(($D$2:$D$1001=D187)*($M$2:$M$1001="win")),$L$2:$L$1001),""))</f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 t="inlineStr">
        <is>
          <t xml:space="preserve"/>
        </is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>
        <f>IF(E188="","",IF(OR(ISNUMBER(SEARCH("狼",E188)),ISNUMBER(SEARCH("石像鬼",E188)),ISNUMBER(SEARCH("恶灵骑士",E188)),ISNUMBER(SEARCH("黑蝙蝠",E188)),ISNUMBER(SEARCH("血月使徒",E188))),"werewolves","villagers"))</f>
      </c>
      <c r="M188" s="0">
        <f>IF(F188="","",IF(ROUND(F188,2)=5,"win","loss"))</f>
      </c>
      <c r="N188" s="0" t="inlineStr">
        <is>
          <t xml:space="preserve"/>
        </is>
      </c>
      <c r="O188" s="0" t="inlineStr">
        <is>
          <t xml:space="preserve"/>
        </is>
      </c>
      <c r="P188" s="0" t="inlineStr">
        <is>
          <t xml:space="preserve"/>
        </is>
      </c>
      <c r="Q188" s="0" t="inlineStr">
        <is>
          <t xml:space="preserve"/>
        </is>
      </c>
      <c r="R188" s="0">
        <f>IF(D188="","",IFERROR(LOOKUP(2,1/(($D$2:$D$1001=D188)*($M$2:$M$1001="win")),$L$2:$L$1001),""))</f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/>
        </is>
      </c>
      <c r="W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 t="inlineStr">
        <is>
          <t xml:space="preserve"/>
        </is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>
        <f>IF(E189="","",IF(OR(ISNUMBER(SEARCH("狼",E189)),ISNUMBER(SEARCH("石像鬼",E189)),ISNUMBER(SEARCH("恶灵骑士",E189)),ISNUMBER(SEARCH("黑蝙蝠",E189)),ISNUMBER(SEARCH("血月使徒",E189))),"werewolves","villagers"))</f>
      </c>
      <c r="M189" s="0">
        <f>IF(F189="","",IF(ROUND(F189,2)=5,"win","loss"))</f>
      </c>
      <c r="N189" s="0" t="inlineStr">
        <is>
          <t xml:space="preserve"/>
        </is>
      </c>
      <c r="O189" s="0" t="inlineStr">
        <is>
          <t xml:space="preserve"/>
        </is>
      </c>
      <c r="P189" s="0" t="inlineStr">
        <is>
          <t xml:space="preserve"/>
        </is>
      </c>
      <c r="Q189" s="0" t="inlineStr">
        <is>
          <t xml:space="preserve"/>
        </is>
      </c>
      <c r="R189" s="0">
        <f>IF(D189="","",IFERROR(LOOKUP(2,1/(($D$2:$D$1001=D189)*($M$2:$M$1001="win")),$L$2:$L$1001),""))</f>
      </c>
      <c r="S189" s="0" t="inlineStr">
        <is>
          <t xml:space="preserve"/>
        </is>
      </c>
      <c r="T189" s="0" t="inlineStr">
        <is>
          <t xml:space="preserve"/>
        </is>
      </c>
      <c r="U189" s="0" t="inlineStr">
        <is>
          <t xml:space="preserve"/>
        </is>
      </c>
      <c r="V189" s="0" t="inlineStr">
        <is>
          <t xml:space="preserve"/>
        </is>
      </c>
      <c r="W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>
        <f>IF(E190="","",IF(OR(ISNUMBER(SEARCH("狼",E190)),ISNUMBER(SEARCH("石像鬼",E190)),ISNUMBER(SEARCH("恶灵骑士",E190)),ISNUMBER(SEARCH("黑蝙蝠",E190)),ISNUMBER(SEARCH("血月使徒",E190))),"werewolves","villagers"))</f>
      </c>
      <c r="M190" s="0">
        <f>IF(F190="","",IF(ROUND(F190,2)=5,"win","loss"))</f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>
        <f>IF(D190="","",IFERROR(LOOKUP(2,1/(($D$2:$D$1001=D190)*($M$2:$M$1001="win")),$L$2:$L$1001),""))</f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>
        <f>IF(E191="","",IF(OR(ISNUMBER(SEARCH("狼",E191)),ISNUMBER(SEARCH("石像鬼",E191)),ISNUMBER(SEARCH("恶灵骑士",E191)),ISNUMBER(SEARCH("黑蝙蝠",E191)),ISNUMBER(SEARCH("血月使徒",E191))),"werewolves","villagers"))</f>
      </c>
      <c r="M191" s="0">
        <f>IF(F191="","",IF(ROUND(F191,2)=5,"win","loss"))</f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>
        <f>IF(D191="","",IFERROR(LOOKUP(2,1/(($D$2:$D$1001=D191)*($M$2:$M$1001="win")),$L$2:$L$1001),""))</f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>
        <f>IF(E192="","",IF(OR(ISNUMBER(SEARCH("狼",E192)),ISNUMBER(SEARCH("石像鬼",E192)),ISNUMBER(SEARCH("恶灵骑士",E192)),ISNUMBER(SEARCH("黑蝙蝠",E192)),ISNUMBER(SEARCH("血月使徒",E192))),"werewolves","villagers"))</f>
      </c>
      <c r="M192" s="0">
        <f>IF(F192="","",IF(ROUND(F192,2)=5,"win","loss"))</f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>
        <f>IF(D192="","",IFERROR(LOOKUP(2,1/(($D$2:$D$1001=D192)*($M$2:$M$1001="win")),$L$2:$L$1001),""))</f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>
        <f>IF(E193="","",IF(OR(ISNUMBER(SEARCH("狼",E193)),ISNUMBER(SEARCH("石像鬼",E193)),ISNUMBER(SEARCH("恶灵骑士",E193)),ISNUMBER(SEARCH("黑蝙蝠",E193)),ISNUMBER(SEARCH("血月使徒",E193))),"werewolves","villagers"))</f>
      </c>
      <c r="M193" s="0">
        <f>IF(F193="","",IF(ROUND(F193,2)=5,"win","loss"))</f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>
        <f>IF(D193="","",IFERROR(LOOKUP(2,1/(($D$2:$D$1001=D193)*($M$2:$M$1001="win")),$L$2:$L$1001),""))</f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 t="inlineStr">
        <is>
          <t xml:space="preserve"/>
        </is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>
        <f>IF(E194="","",IF(OR(ISNUMBER(SEARCH("狼",E194)),ISNUMBER(SEARCH("石像鬼",E194)),ISNUMBER(SEARCH("恶灵骑士",E194)),ISNUMBER(SEARCH("黑蝙蝠",E194)),ISNUMBER(SEARCH("血月使徒",E194))),"werewolves","villagers"))</f>
      </c>
      <c r="M194" s="0">
        <f>IF(F194="","",IF(ROUND(F194,2)=5,"win","loss"))</f>
      </c>
      <c r="N194" s="0" t="inlineStr">
        <is>
          <t xml:space="preserve"/>
        </is>
      </c>
      <c r="O194" s="0" t="inlineStr">
        <is>
          <t xml:space="preserve"/>
        </is>
      </c>
      <c r="P194" s="0" t="inlineStr">
        <is>
          <t xml:space="preserve"/>
        </is>
      </c>
      <c r="Q194" s="0" t="inlineStr">
        <is>
          <t xml:space="preserve"/>
        </is>
      </c>
      <c r="R194" s="0">
        <f>IF(D194="","",IFERROR(LOOKUP(2,1/(($D$2:$D$1001=D194)*($M$2:$M$1001="win")),$L$2:$L$1001),""))</f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/>
        </is>
      </c>
      <c r="W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 t="inlineStr">
        <is>
          <t xml:space="preserve"/>
        </is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>
        <f>IF(E195="","",IF(OR(ISNUMBER(SEARCH("狼",E195)),ISNUMBER(SEARCH("石像鬼",E195)),ISNUMBER(SEARCH("恶灵骑士",E195)),ISNUMBER(SEARCH("黑蝙蝠",E195)),ISNUMBER(SEARCH("血月使徒",E195))),"werewolves","villagers"))</f>
      </c>
      <c r="M195" s="0">
        <f>IF(F195="","",IF(ROUND(F195,2)=5,"win","loss"))</f>
      </c>
      <c r="N195" s="0" t="inlineStr">
        <is>
          <t xml:space="preserve"/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/>
        </is>
      </c>
      <c r="R195" s="0">
        <f>IF(D195="","",IFERROR(LOOKUP(2,1/(($D$2:$D$1001=D195)*($M$2:$M$1001="win")),$L$2:$L$1001),""))</f>
      </c>
      <c r="S195" s="0" t="inlineStr">
        <is>
          <t xml:space="preserve"/>
        </is>
      </c>
      <c r="T195" s="0" t="inlineStr">
        <is>
          <t xml:space="preserve"/>
        </is>
      </c>
      <c r="U195" s="0" t="inlineStr">
        <is>
          <t xml:space="preserve"/>
        </is>
      </c>
      <c r="V195" s="0" t="inlineStr">
        <is>
          <t xml:space="preserve"/>
        </is>
      </c>
      <c r="W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>
        <f>IF(E196="","",IF(OR(ISNUMBER(SEARCH("狼",E196)),ISNUMBER(SEARCH("石像鬼",E196)),ISNUMBER(SEARCH("恶灵骑士",E196)),ISNUMBER(SEARCH("黑蝙蝠",E196)),ISNUMBER(SEARCH("血月使徒",E196))),"werewolves","villagers"))</f>
      </c>
      <c r="M196" s="0">
        <f>IF(F196="","",IF(ROUND(F196,2)=5,"win","loss"))</f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>
        <f>IF(D196="","",IFERROR(LOOKUP(2,1/(($D$2:$D$1001=D196)*($M$2:$M$1001="win")),$L$2:$L$1001),""))</f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 t="inlineStr">
        <is>
          <t xml:space="preserve"/>
        </is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>
        <f>IF(E197="","",IF(OR(ISNUMBER(SEARCH("狼",E197)),ISNUMBER(SEARCH("石像鬼",E197)),ISNUMBER(SEARCH("恶灵骑士",E197)),ISNUMBER(SEARCH("黑蝙蝠",E197)),ISNUMBER(SEARCH("血月使徒",E197))),"werewolves","villagers"))</f>
      </c>
      <c r="M197" s="0">
        <f>IF(F197="","",IF(ROUND(F197,2)=5,"win","loss"))</f>
      </c>
      <c r="N197" s="0" t="inlineStr">
        <is>
          <t xml:space="preserve"/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/>
        </is>
      </c>
      <c r="R197" s="0">
        <f>IF(D197="","",IFERROR(LOOKUP(2,1/(($D$2:$D$1001=D197)*($M$2:$M$1001="win")),$L$2:$L$1001),""))</f>
      </c>
      <c r="S197" s="0" t="inlineStr">
        <is>
          <t xml:space="preserve"/>
        </is>
      </c>
      <c r="T197" s="0" t="inlineStr">
        <is>
          <t xml:space="preserve"/>
        </is>
      </c>
      <c r="U197" s="0" t="inlineStr">
        <is>
          <t xml:space="preserve"/>
        </is>
      </c>
      <c r="V197" s="0" t="inlineStr">
        <is>
          <t xml:space="preserve"/>
        </is>
      </c>
      <c r="W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>
        <f>IF(E198="","",IF(OR(ISNUMBER(SEARCH("狼",E198)),ISNUMBER(SEARCH("石像鬼",E198)),ISNUMBER(SEARCH("恶灵骑士",E198)),ISNUMBER(SEARCH("黑蝙蝠",E198)),ISNUMBER(SEARCH("血月使徒",E198))),"werewolves","villagers"))</f>
      </c>
      <c r="M198" s="0">
        <f>IF(F198="","",IF(ROUND(F198,2)=5,"win","loss"))</f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>
        <f>IF(D198="","",IFERROR(LOOKUP(2,1/(($D$2:$D$1001=D198)*($M$2:$M$1001="win")),$L$2:$L$1001),""))</f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>
        <f>IF(E199="","",IF(OR(ISNUMBER(SEARCH("狼",E199)),ISNUMBER(SEARCH("石像鬼",E199)),ISNUMBER(SEARCH("恶灵骑士",E199)),ISNUMBER(SEARCH("黑蝙蝠",E199)),ISNUMBER(SEARCH("血月使徒",E199))),"werewolves","villagers"))</f>
      </c>
      <c r="M199" s="0">
        <f>IF(F199="","",IF(ROUND(F199,2)=5,"win","loss"))</f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>
        <f>IF(D199="","",IFERROR(LOOKUP(2,1/(($D$2:$D$1001=D199)*($M$2:$M$1001="win")),$L$2:$L$1001),""))</f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 t="inlineStr">
        <is>
          <t xml:space="preserve"/>
        </is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>
        <f>IF(E200="","",IF(OR(ISNUMBER(SEARCH("狼",E200)),ISNUMBER(SEARCH("石像鬼",E200)),ISNUMBER(SEARCH("恶灵骑士",E200)),ISNUMBER(SEARCH("黑蝙蝠",E200)),ISNUMBER(SEARCH("血月使徒",E200))),"werewolves","villagers"))</f>
      </c>
      <c r="M200" s="0">
        <f>IF(F200="","",IF(ROUND(F200,2)=5,"win","loss"))</f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>
        <f>IF(D200="","",IFERROR(LOOKUP(2,1/(($D$2:$D$1001=D200)*($M$2:$M$1001="win")),$L$2:$L$1001),""))</f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>
        <f>IF(E201="","",IF(OR(ISNUMBER(SEARCH("狼",E201)),ISNUMBER(SEARCH("石像鬼",E201)),ISNUMBER(SEARCH("恶灵骑士",E201)),ISNUMBER(SEARCH("黑蝙蝠",E201)),ISNUMBER(SEARCH("血月使徒",E201))),"werewolves","villagers"))</f>
      </c>
      <c r="M201" s="0">
        <f>IF(F201="","",IF(ROUND(F201,2)=5,"win","loss"))</f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>
        <f>IF(D201="","",IFERROR(LOOKUP(2,1/(($D$2:$D$1001=D201)*($M$2:$M$1001="win")),$L$2:$L$1001),""))</f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>
        <f>IF(E202="","",IF(OR(ISNUMBER(SEARCH("狼",E202)),ISNUMBER(SEARCH("石像鬼",E202)),ISNUMBER(SEARCH("恶灵骑士",E202)),ISNUMBER(SEARCH("黑蝙蝠",E202)),ISNUMBER(SEARCH("血月使徒",E202))),"werewolves","villagers"))</f>
      </c>
      <c r="M202" s="0">
        <f>IF(F202="","",IF(ROUND(F202,2)=5,"win","loss"))</f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>
        <f>IF(D202="","",IFERROR(LOOKUP(2,1/(($D$2:$D$1001=D202)*($M$2:$M$1001="win")),$L$2:$L$1001),""))</f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 t="inlineStr">
        <is>
          <t xml:space="preserve"/>
        </is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>
        <f>IF(E203="","",IF(OR(ISNUMBER(SEARCH("狼",E203)),ISNUMBER(SEARCH("石像鬼",E203)),ISNUMBER(SEARCH("恶灵骑士",E203)),ISNUMBER(SEARCH("黑蝙蝠",E203)),ISNUMBER(SEARCH("血月使徒",E203))),"werewolves","villagers"))</f>
      </c>
      <c r="M203" s="0">
        <f>IF(F203="","",IF(ROUND(F203,2)=5,"win","loss"))</f>
      </c>
      <c r="N203" s="0" t="inlineStr">
        <is>
          <t xml:space="preserve"/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/>
        </is>
      </c>
      <c r="R203" s="0">
        <f>IF(D203="","",IFERROR(LOOKUP(2,1/(($D$2:$D$1001=D203)*($M$2:$M$1001="win")),$L$2:$L$1001),""))</f>
      </c>
      <c r="S203" s="0" t="inlineStr">
        <is>
          <t xml:space="preserve"/>
        </is>
      </c>
      <c r="T203" s="0" t="inlineStr">
        <is>
          <t xml:space="preserve"/>
        </is>
      </c>
      <c r="U203" s="0" t="inlineStr">
        <is>
          <t xml:space="preserve"/>
        </is>
      </c>
      <c r="V203" s="0" t="inlineStr">
        <is>
          <t xml:space="preserve"/>
        </is>
      </c>
      <c r="W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 t="inlineStr">
        <is>
          <t xml:space="preserve"/>
        </is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>
        <f>IF(E204="","",IF(OR(ISNUMBER(SEARCH("狼",E204)),ISNUMBER(SEARCH("石像鬼",E204)),ISNUMBER(SEARCH("恶灵骑士",E204)),ISNUMBER(SEARCH("黑蝙蝠",E204)),ISNUMBER(SEARCH("血月使徒",E204))),"werewolves","villagers"))</f>
      </c>
      <c r="M204" s="0">
        <f>IF(F204="","",IF(ROUND(F204,2)=5,"win","loss"))</f>
      </c>
      <c r="N204" s="0" t="inlineStr">
        <is>
          <t xml:space="preserve"/>
        </is>
      </c>
      <c r="O204" s="0" t="inlineStr">
        <is>
          <t xml:space="preserve"/>
        </is>
      </c>
      <c r="P204" s="0" t="inlineStr">
        <is>
          <t xml:space="preserve"/>
        </is>
      </c>
      <c r="Q204" s="0" t="inlineStr">
        <is>
          <t xml:space="preserve"/>
        </is>
      </c>
      <c r="R204" s="0">
        <f>IF(D204="","",IFERROR(LOOKUP(2,1/(($D$2:$D$1001=D204)*($M$2:$M$1001="win")),$L$2:$L$1001),""))</f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/>
        </is>
      </c>
      <c r="W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>
        <f>IF(E205="","",IF(OR(ISNUMBER(SEARCH("狼",E205)),ISNUMBER(SEARCH("石像鬼",E205)),ISNUMBER(SEARCH("恶灵骑士",E205)),ISNUMBER(SEARCH("黑蝙蝠",E205)),ISNUMBER(SEARCH("血月使徒",E205))),"werewolves","villagers"))</f>
      </c>
      <c r="M205" s="0">
        <f>IF(F205="","",IF(ROUND(F205,2)=5,"win","loss"))</f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>
        <f>IF(D205="","",IFERROR(LOOKUP(2,1/(($D$2:$D$1001=D205)*($M$2:$M$1001="win")),$L$2:$L$1001),""))</f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 t="inlineStr">
        <is>
          <t xml:space="preserve"/>
        </is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>
        <f>IF(E206="","",IF(OR(ISNUMBER(SEARCH("狼",E206)),ISNUMBER(SEARCH("石像鬼",E206)),ISNUMBER(SEARCH("恶灵骑士",E206)),ISNUMBER(SEARCH("黑蝙蝠",E206)),ISNUMBER(SEARCH("血月使徒",E206))),"werewolves","villagers"))</f>
      </c>
      <c r="M206" s="0">
        <f>IF(F206="","",IF(ROUND(F206,2)=5,"win","loss"))</f>
      </c>
      <c r="N206" s="0" t="inlineStr">
        <is>
          <t xml:space="preserve"/>
        </is>
      </c>
      <c r="O206" s="0" t="inlineStr">
        <is>
          <t xml:space="preserve"/>
        </is>
      </c>
      <c r="P206" s="0" t="inlineStr">
        <is>
          <t xml:space="preserve"/>
        </is>
      </c>
      <c r="Q206" s="0" t="inlineStr">
        <is>
          <t xml:space="preserve"/>
        </is>
      </c>
      <c r="R206" s="0">
        <f>IF(D206="","",IFERROR(LOOKUP(2,1/(($D$2:$D$1001=D206)*($M$2:$M$1001="win")),$L$2:$L$1001),""))</f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/>
        </is>
      </c>
      <c r="W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>
        <f>IF(E207="","",IF(OR(ISNUMBER(SEARCH("狼",E207)),ISNUMBER(SEARCH("石像鬼",E207)),ISNUMBER(SEARCH("恶灵骑士",E207)),ISNUMBER(SEARCH("黑蝙蝠",E207)),ISNUMBER(SEARCH("血月使徒",E207))),"werewolves","villagers"))</f>
      </c>
      <c r="M207" s="0">
        <f>IF(F207="","",IF(ROUND(F207,2)=5,"win","loss"))</f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>
        <f>IF(D207="","",IFERROR(LOOKUP(2,1/(($D$2:$D$1001=D207)*($M$2:$M$1001="win")),$L$2:$L$1001),""))</f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 t="inlineStr">
        <is>
          <t xml:space="preserve"/>
        </is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>
        <f>IF(E208="","",IF(OR(ISNUMBER(SEARCH("狼",E208)),ISNUMBER(SEARCH("石像鬼",E208)),ISNUMBER(SEARCH("恶灵骑士",E208)),ISNUMBER(SEARCH("黑蝙蝠",E208)),ISNUMBER(SEARCH("血月使徒",E208))),"werewolves","villagers"))</f>
      </c>
      <c r="M208" s="0">
        <f>IF(F208="","",IF(ROUND(F208,2)=5,"win","loss"))</f>
      </c>
      <c r="N208" s="0" t="inlineStr">
        <is>
          <t xml:space="preserve"/>
        </is>
      </c>
      <c r="O208" s="0" t="inlineStr">
        <is>
          <t xml:space="preserve"/>
        </is>
      </c>
      <c r="P208" s="0" t="inlineStr">
        <is>
          <t xml:space="preserve"/>
        </is>
      </c>
      <c r="Q208" s="0" t="inlineStr">
        <is>
          <t xml:space="preserve"/>
        </is>
      </c>
      <c r="R208" s="0">
        <f>IF(D208="","",IFERROR(LOOKUP(2,1/(($D$2:$D$1001=D208)*($M$2:$M$1001="win")),$L$2:$L$1001),""))</f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/>
        </is>
      </c>
      <c r="W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>
        <f>IF(E209="","",IF(OR(ISNUMBER(SEARCH("狼",E209)),ISNUMBER(SEARCH("石像鬼",E209)),ISNUMBER(SEARCH("恶灵骑士",E209)),ISNUMBER(SEARCH("黑蝙蝠",E209)),ISNUMBER(SEARCH("血月使徒",E209))),"werewolves","villagers"))</f>
      </c>
      <c r="M209" s="0">
        <f>IF(F209="","",IF(ROUND(F209,2)=5,"win","loss"))</f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>
        <f>IF(D209="","",IFERROR(LOOKUP(2,1/(($D$2:$D$1001=D209)*($M$2:$M$1001="win")),$L$2:$L$1001),""))</f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>
        <f>IF(E210="","",IF(OR(ISNUMBER(SEARCH("狼",E210)),ISNUMBER(SEARCH("石像鬼",E210)),ISNUMBER(SEARCH("恶灵骑士",E210)),ISNUMBER(SEARCH("黑蝙蝠",E210)),ISNUMBER(SEARCH("血月使徒",E210))),"werewolves","villagers"))</f>
      </c>
      <c r="M210" s="0">
        <f>IF(F210="","",IF(ROUND(F210,2)=5,"win","loss"))</f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>
        <f>IF(D210="","",IFERROR(LOOKUP(2,1/(($D$2:$D$1001=D210)*($M$2:$M$1001="win")),$L$2:$L$1001),""))</f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>
        <f>IF(E211="","",IF(OR(ISNUMBER(SEARCH("狼",E211)),ISNUMBER(SEARCH("石像鬼",E211)),ISNUMBER(SEARCH("恶灵骑士",E211)),ISNUMBER(SEARCH("黑蝙蝠",E211)),ISNUMBER(SEARCH("血月使徒",E211))),"werewolves","villagers"))</f>
      </c>
      <c r="M211" s="0">
        <f>IF(F211="","",IF(ROUND(F211,2)=5,"win","loss"))</f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>
        <f>IF(D211="","",IFERROR(LOOKUP(2,1/(($D$2:$D$1001=D211)*($M$2:$M$1001="win")),$L$2:$L$1001),""))</f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 t="inlineStr">
        <is>
          <t xml:space="preserve"/>
        </is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>
        <f>IF(E212="","",IF(OR(ISNUMBER(SEARCH("狼",E212)),ISNUMBER(SEARCH("石像鬼",E212)),ISNUMBER(SEARCH("恶灵骑士",E212)),ISNUMBER(SEARCH("黑蝙蝠",E212)),ISNUMBER(SEARCH("血月使徒",E212))),"werewolves","villagers"))</f>
      </c>
      <c r="M212" s="0">
        <f>IF(F212="","",IF(ROUND(F212,2)=5,"win","loss"))</f>
      </c>
      <c r="N212" s="0" t="inlineStr">
        <is>
          <t xml:space="preserve"/>
        </is>
      </c>
      <c r="O212" s="0" t="inlineStr">
        <is>
          <t xml:space="preserve"/>
        </is>
      </c>
      <c r="P212" s="0" t="inlineStr">
        <is>
          <t xml:space="preserve"/>
        </is>
      </c>
      <c r="Q212" s="0" t="inlineStr">
        <is>
          <t xml:space="preserve"/>
        </is>
      </c>
      <c r="R212" s="0">
        <f>IF(D212="","",IFERROR(LOOKUP(2,1/(($D$2:$D$1001=D212)*($M$2:$M$1001="win")),$L$2:$L$1001),""))</f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/>
        </is>
      </c>
      <c r="W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 t="inlineStr">
        <is>
          <t xml:space="preserve"/>
        </is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>
        <f>IF(E213="","",IF(OR(ISNUMBER(SEARCH("狼",E213)),ISNUMBER(SEARCH("石像鬼",E213)),ISNUMBER(SEARCH("恶灵骑士",E213)),ISNUMBER(SEARCH("黑蝙蝠",E213)),ISNUMBER(SEARCH("血月使徒",E213))),"werewolves","villagers"))</f>
      </c>
      <c r="M213" s="0">
        <f>IF(F213="","",IF(ROUND(F213,2)=5,"win","loss"))</f>
      </c>
      <c r="N213" s="0" t="inlineStr">
        <is>
          <t xml:space="preserve"/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/>
        </is>
      </c>
      <c r="R213" s="0">
        <f>IF(D213="","",IFERROR(LOOKUP(2,1/(($D$2:$D$1001=D213)*($M$2:$M$1001="win")),$L$2:$L$1001),""))</f>
      </c>
      <c r="S213" s="0" t="inlineStr">
        <is>
          <t xml:space="preserve"/>
        </is>
      </c>
      <c r="T213" s="0" t="inlineStr">
        <is>
          <t xml:space="preserve"/>
        </is>
      </c>
      <c r="U213" s="0" t="inlineStr">
        <is>
          <t xml:space="preserve"/>
        </is>
      </c>
      <c r="V213" s="0" t="inlineStr">
        <is>
          <t xml:space="preserve"/>
        </is>
      </c>
      <c r="W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>
        <f>IF(E214="","",IF(OR(ISNUMBER(SEARCH("狼",E214)),ISNUMBER(SEARCH("石像鬼",E214)),ISNUMBER(SEARCH("恶灵骑士",E214)),ISNUMBER(SEARCH("黑蝙蝠",E214)),ISNUMBER(SEARCH("血月使徒",E214))),"werewolves","villagers"))</f>
      </c>
      <c r="M214" s="0">
        <f>IF(F214="","",IF(ROUND(F214,2)=5,"win","loss"))</f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>
        <f>IF(D214="","",IFERROR(LOOKUP(2,1/(($D$2:$D$1001=D214)*($M$2:$M$1001="win")),$L$2:$L$1001),""))</f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>
        <f>IF(E215="","",IF(OR(ISNUMBER(SEARCH("狼",E215)),ISNUMBER(SEARCH("石像鬼",E215)),ISNUMBER(SEARCH("恶灵骑士",E215)),ISNUMBER(SEARCH("黑蝙蝠",E215)),ISNUMBER(SEARCH("血月使徒",E215))),"werewolves","villagers"))</f>
      </c>
      <c r="M215" s="0">
        <f>IF(F215="","",IF(ROUND(F215,2)=5,"win","loss"))</f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>
        <f>IF(D215="","",IFERROR(LOOKUP(2,1/(($D$2:$D$1001=D215)*($M$2:$M$1001="win")),$L$2:$L$1001),""))</f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 t="inlineStr">
        <is>
          <t xml:space="preserve"/>
        </is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>
        <f>IF(E216="","",IF(OR(ISNUMBER(SEARCH("狼",E216)),ISNUMBER(SEARCH("石像鬼",E216)),ISNUMBER(SEARCH("恶灵骑士",E216)),ISNUMBER(SEARCH("黑蝙蝠",E216)),ISNUMBER(SEARCH("血月使徒",E216))),"werewolves","villagers"))</f>
      </c>
      <c r="M216" s="0">
        <f>IF(F216="","",IF(ROUND(F216,2)=5,"win","loss"))</f>
      </c>
      <c r="N216" s="0" t="inlineStr">
        <is>
          <t xml:space="preserve"/>
        </is>
      </c>
      <c r="O216" s="0" t="inlineStr">
        <is>
          <t xml:space="preserve"/>
        </is>
      </c>
      <c r="P216" s="0" t="inlineStr">
        <is>
          <t xml:space="preserve"/>
        </is>
      </c>
      <c r="Q216" s="0" t="inlineStr">
        <is>
          <t xml:space="preserve"/>
        </is>
      </c>
      <c r="R216" s="0">
        <f>IF(D216="","",IFERROR(LOOKUP(2,1/(($D$2:$D$1001=D216)*($M$2:$M$1001="win")),$L$2:$L$1001),""))</f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/>
        </is>
      </c>
      <c r="W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>
        <f>IF(E217="","",IF(OR(ISNUMBER(SEARCH("狼",E217)),ISNUMBER(SEARCH("石像鬼",E217)),ISNUMBER(SEARCH("恶灵骑士",E217)),ISNUMBER(SEARCH("黑蝙蝠",E217)),ISNUMBER(SEARCH("血月使徒",E217))),"werewolves","villagers"))</f>
      </c>
      <c r="M217" s="0">
        <f>IF(F217="","",IF(ROUND(F217,2)=5,"win","loss"))</f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>
        <f>IF(D217="","",IFERROR(LOOKUP(2,1/(($D$2:$D$1001=D217)*($M$2:$M$1001="win")),$L$2:$L$1001),""))</f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 t="inlineStr">
        <is>
          <t xml:space="preserve"/>
        </is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>
        <f>IF(E218="","",IF(OR(ISNUMBER(SEARCH("狼",E218)),ISNUMBER(SEARCH("石像鬼",E218)),ISNUMBER(SEARCH("恶灵骑士",E218)),ISNUMBER(SEARCH("黑蝙蝠",E218)),ISNUMBER(SEARCH("血月使徒",E218))),"werewolves","villagers"))</f>
      </c>
      <c r="M218" s="0">
        <f>IF(F218="","",IF(ROUND(F218,2)=5,"win","loss"))</f>
      </c>
      <c r="N218" s="0" t="inlineStr">
        <is>
          <t xml:space="preserve"/>
        </is>
      </c>
      <c r="O218" s="0" t="inlineStr">
        <is>
          <t xml:space="preserve"/>
        </is>
      </c>
      <c r="P218" s="0" t="inlineStr">
        <is>
          <t xml:space="preserve"/>
        </is>
      </c>
      <c r="Q218" s="0" t="inlineStr">
        <is>
          <t xml:space="preserve"/>
        </is>
      </c>
      <c r="R218" s="0">
        <f>IF(D218="","",IFERROR(LOOKUP(2,1/(($D$2:$D$1001=D218)*($M$2:$M$1001="win")),$L$2:$L$1001),""))</f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/>
        </is>
      </c>
      <c r="V218" s="0" t="inlineStr">
        <is>
          <t xml:space="preserve"/>
        </is>
      </c>
      <c r="W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 t="inlineStr">
        <is>
          <t xml:space="preserve"/>
        </is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>
        <f>IF(E219="","",IF(OR(ISNUMBER(SEARCH("狼",E219)),ISNUMBER(SEARCH("石像鬼",E219)),ISNUMBER(SEARCH("恶灵骑士",E219)),ISNUMBER(SEARCH("黑蝙蝠",E219)),ISNUMBER(SEARCH("血月使徒",E219))),"werewolves","villagers"))</f>
      </c>
      <c r="M219" s="0">
        <f>IF(F219="","",IF(ROUND(F219,2)=5,"win","loss"))</f>
      </c>
      <c r="N219" s="0" t="inlineStr">
        <is>
          <t xml:space="preserve"/>
        </is>
      </c>
      <c r="O219" s="0" t="inlineStr">
        <is>
          <t xml:space="preserve"/>
        </is>
      </c>
      <c r="P219" s="0" t="inlineStr">
        <is>
          <t xml:space="preserve"/>
        </is>
      </c>
      <c r="Q219" s="0" t="inlineStr">
        <is>
          <t xml:space="preserve"/>
        </is>
      </c>
      <c r="R219" s="0">
        <f>IF(D219="","",IFERROR(LOOKUP(2,1/(($D$2:$D$1001=D219)*($M$2:$M$1001="win")),$L$2:$L$1001),""))</f>
      </c>
      <c r="S219" s="0" t="inlineStr">
        <is>
          <t xml:space="preserve"/>
        </is>
      </c>
      <c r="T219" s="0" t="inlineStr">
        <is>
          <t xml:space="preserve"/>
        </is>
      </c>
      <c r="U219" s="0" t="inlineStr">
        <is>
          <t xml:space="preserve"/>
        </is>
      </c>
      <c r="V219" s="0" t="inlineStr">
        <is>
          <t xml:space="preserve"/>
        </is>
      </c>
      <c r="W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>
        <f>IF(E220="","",IF(OR(ISNUMBER(SEARCH("狼",E220)),ISNUMBER(SEARCH("石像鬼",E220)),ISNUMBER(SEARCH("恶灵骑士",E220)),ISNUMBER(SEARCH("黑蝙蝠",E220)),ISNUMBER(SEARCH("血月使徒",E220))),"werewolves","villagers"))</f>
      </c>
      <c r="M220" s="0">
        <f>IF(F220="","",IF(ROUND(F220,2)=5,"win","loss"))</f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>
        <f>IF(D220="","",IFERROR(LOOKUP(2,1/(($D$2:$D$1001=D220)*($M$2:$M$1001="win")),$L$2:$L$1001),""))</f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>
        <f>IF(E221="","",IF(OR(ISNUMBER(SEARCH("狼",E221)),ISNUMBER(SEARCH("石像鬼",E221)),ISNUMBER(SEARCH("恶灵骑士",E221)),ISNUMBER(SEARCH("黑蝙蝠",E221)),ISNUMBER(SEARCH("血月使徒",E221))),"werewolves","villagers"))</f>
      </c>
      <c r="M221" s="0">
        <f>IF(F221="","",IF(ROUND(F221,2)=5,"win","loss"))</f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>
        <f>IF(D221="","",IFERROR(LOOKUP(2,1/(($D$2:$D$1001=D221)*($M$2:$M$1001="win")),$L$2:$L$1001),""))</f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 t="inlineStr">
        <is>
          <t xml:space="preserve"/>
        </is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>
        <f>IF(E222="","",IF(OR(ISNUMBER(SEARCH("狼",E222)),ISNUMBER(SEARCH("石像鬼",E222)),ISNUMBER(SEARCH("恶灵骑士",E222)),ISNUMBER(SEARCH("黑蝙蝠",E222)),ISNUMBER(SEARCH("血月使徒",E222))),"werewolves","villagers"))</f>
      </c>
      <c r="M222" s="0">
        <f>IF(F222="","",IF(ROUND(F222,2)=5,"win","loss"))</f>
      </c>
      <c r="N222" s="0" t="inlineStr">
        <is>
          <t xml:space="preserve"/>
        </is>
      </c>
      <c r="O222" s="0" t="inlineStr">
        <is>
          <t xml:space="preserve"/>
        </is>
      </c>
      <c r="P222" s="0" t="inlineStr">
        <is>
          <t xml:space="preserve"/>
        </is>
      </c>
      <c r="Q222" s="0" t="inlineStr">
        <is>
          <t xml:space="preserve"/>
        </is>
      </c>
      <c r="R222" s="0">
        <f>IF(D222="","",IFERROR(LOOKUP(2,1/(($D$2:$D$1001=D222)*($M$2:$M$1001="win")),$L$2:$L$1001),""))</f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/>
        </is>
      </c>
      <c r="W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 t="inlineStr">
        <is>
          <t xml:space="preserve"/>
        </is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>
        <f>IF(E223="","",IF(OR(ISNUMBER(SEARCH("狼",E223)),ISNUMBER(SEARCH("石像鬼",E223)),ISNUMBER(SEARCH("恶灵骑士",E223)),ISNUMBER(SEARCH("黑蝙蝠",E223)),ISNUMBER(SEARCH("血月使徒",E223))),"werewolves","villagers"))</f>
      </c>
      <c r="M223" s="0">
        <f>IF(F223="","",IF(ROUND(F223,2)=5,"win","loss"))</f>
      </c>
      <c r="N223" s="0" t="inlineStr">
        <is>
          <t xml:space="preserve"/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/>
        </is>
      </c>
      <c r="R223" s="0">
        <f>IF(D223="","",IFERROR(LOOKUP(2,1/(($D$2:$D$1001=D223)*($M$2:$M$1001="win")),$L$2:$L$1001),""))</f>
      </c>
      <c r="S223" s="0" t="inlineStr">
        <is>
          <t xml:space="preserve"/>
        </is>
      </c>
      <c r="T223" s="0" t="inlineStr">
        <is>
          <t xml:space="preserve"/>
        </is>
      </c>
      <c r="U223" s="0" t="inlineStr">
        <is>
          <t xml:space="preserve"/>
        </is>
      </c>
      <c r="V223" s="0" t="inlineStr">
        <is>
          <t xml:space="preserve"/>
        </is>
      </c>
      <c r="W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>
        <f>IF(E224="","",IF(OR(ISNUMBER(SEARCH("狼",E224)),ISNUMBER(SEARCH("石像鬼",E224)),ISNUMBER(SEARCH("恶灵骑士",E224)),ISNUMBER(SEARCH("黑蝙蝠",E224)),ISNUMBER(SEARCH("血月使徒",E224))),"werewolves","villagers"))</f>
      </c>
      <c r="M224" s="0">
        <f>IF(F224="","",IF(ROUND(F224,2)=5,"win","loss"))</f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>
        <f>IF(D224="","",IFERROR(LOOKUP(2,1/(($D$2:$D$1001=D224)*($M$2:$M$1001="win")),$L$2:$L$1001),""))</f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 t="inlineStr">
        <is>
          <t xml:space="preserve"/>
        </is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>
        <f>IF(E225="","",IF(OR(ISNUMBER(SEARCH("狼",E225)),ISNUMBER(SEARCH("石像鬼",E225)),ISNUMBER(SEARCH("恶灵骑士",E225)),ISNUMBER(SEARCH("黑蝙蝠",E225)),ISNUMBER(SEARCH("血月使徒",E225))),"werewolves","villagers"))</f>
      </c>
      <c r="M225" s="0">
        <f>IF(F225="","",IF(ROUND(F225,2)=5,"win","loss"))</f>
      </c>
      <c r="N225" s="0" t="inlineStr">
        <is>
          <t xml:space="preserve"/>
        </is>
      </c>
      <c r="O225" s="0" t="inlineStr">
        <is>
          <t xml:space="preserve"/>
        </is>
      </c>
      <c r="P225" s="0" t="inlineStr">
        <is>
          <t xml:space="preserve"/>
        </is>
      </c>
      <c r="Q225" s="0" t="inlineStr">
        <is>
          <t xml:space="preserve"/>
        </is>
      </c>
      <c r="R225" s="0">
        <f>IF(D225="","",IFERROR(LOOKUP(2,1/(($D$2:$D$1001=D225)*($M$2:$M$1001="win")),$L$2:$L$1001),""))</f>
      </c>
      <c r="S225" s="0" t="inlineStr">
        <is>
          <t xml:space="preserve"/>
        </is>
      </c>
      <c r="T225" s="0" t="inlineStr">
        <is>
          <t xml:space="preserve"/>
        </is>
      </c>
      <c r="U225" s="0" t="inlineStr">
        <is>
          <t xml:space="preserve"/>
        </is>
      </c>
      <c r="V225" s="0" t="inlineStr">
        <is>
          <t xml:space="preserve"/>
        </is>
      </c>
      <c r="W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>
        <f>IF(E226="","",IF(OR(ISNUMBER(SEARCH("狼",E226)),ISNUMBER(SEARCH("石像鬼",E226)),ISNUMBER(SEARCH("恶灵骑士",E226)),ISNUMBER(SEARCH("黑蝙蝠",E226)),ISNUMBER(SEARCH("血月使徒",E226))),"werewolves","villagers"))</f>
      </c>
      <c r="M226" s="0">
        <f>IF(F226="","",IF(ROUND(F226,2)=5,"win","loss"))</f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>
        <f>IF(D226="","",IFERROR(LOOKUP(2,1/(($D$2:$D$1001=D226)*($M$2:$M$1001="win")),$L$2:$L$1001),""))</f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 t="inlineStr">
        <is>
          <t xml:space="preserve"/>
        </is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>
        <f>IF(E227="","",IF(OR(ISNUMBER(SEARCH("狼",E227)),ISNUMBER(SEARCH("石像鬼",E227)),ISNUMBER(SEARCH("恶灵骑士",E227)),ISNUMBER(SEARCH("黑蝙蝠",E227)),ISNUMBER(SEARCH("血月使徒",E227))),"werewolves","villagers"))</f>
      </c>
      <c r="M227" s="0">
        <f>IF(F227="","",IF(ROUND(F227,2)=5,"win","loss"))</f>
      </c>
      <c r="N227" s="0" t="inlineStr">
        <is>
          <t xml:space="preserve"/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/>
        </is>
      </c>
      <c r="R227" s="0">
        <f>IF(D227="","",IFERROR(LOOKUP(2,1/(($D$2:$D$1001=D227)*($M$2:$M$1001="win")),$L$2:$L$1001),""))</f>
      </c>
      <c r="S227" s="0" t="inlineStr">
        <is>
          <t xml:space="preserve"/>
        </is>
      </c>
      <c r="T227" s="0" t="inlineStr">
        <is>
          <t xml:space="preserve"/>
        </is>
      </c>
      <c r="U227" s="0" t="inlineStr">
        <is>
          <t xml:space="preserve"/>
        </is>
      </c>
      <c r="V227" s="0" t="inlineStr">
        <is>
          <t xml:space="preserve"/>
        </is>
      </c>
      <c r="W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 t="inlineStr">
        <is>
          <t xml:space="preserve"/>
        </is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>
        <f>IF(E228="","",IF(OR(ISNUMBER(SEARCH("狼",E228)),ISNUMBER(SEARCH("石像鬼",E228)),ISNUMBER(SEARCH("恶灵骑士",E228)),ISNUMBER(SEARCH("黑蝙蝠",E228)),ISNUMBER(SEARCH("血月使徒",E228))),"werewolves","villagers"))</f>
      </c>
      <c r="M228" s="0">
        <f>IF(F228="","",IF(ROUND(F228,2)=5,"win","loss"))</f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>
        <f>IF(D228="","",IFERROR(LOOKUP(2,1/(($D$2:$D$1001=D228)*($M$2:$M$1001="win")),$L$2:$L$1001),""))</f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>
        <f>IF(E229="","",IF(OR(ISNUMBER(SEARCH("狼",E229)),ISNUMBER(SEARCH("石像鬼",E229)),ISNUMBER(SEARCH("恶灵骑士",E229)),ISNUMBER(SEARCH("黑蝙蝠",E229)),ISNUMBER(SEARCH("血月使徒",E229))),"werewolves","villagers"))</f>
      </c>
      <c r="M229" s="0">
        <f>IF(F229="","",IF(ROUND(F229,2)=5,"win","loss"))</f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>
        <f>IF(D229="","",IFERROR(LOOKUP(2,1/(($D$2:$D$1001=D229)*($M$2:$M$1001="win")),$L$2:$L$1001),""))</f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>
        <f>IF(E230="","",IF(OR(ISNUMBER(SEARCH("狼",E230)),ISNUMBER(SEARCH("石像鬼",E230)),ISNUMBER(SEARCH("恶灵骑士",E230)),ISNUMBER(SEARCH("黑蝙蝠",E230)),ISNUMBER(SEARCH("血月使徒",E230))),"werewolves","villagers"))</f>
      </c>
      <c r="M230" s="0">
        <f>IF(F230="","",IF(ROUND(F230,2)=5,"win","loss"))</f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>
        <f>IF(D230="","",IFERROR(LOOKUP(2,1/(($D$2:$D$1001=D230)*($M$2:$M$1001="win")),$L$2:$L$1001),""))</f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>
        <f>IF(E231="","",IF(OR(ISNUMBER(SEARCH("狼",E231)),ISNUMBER(SEARCH("石像鬼",E231)),ISNUMBER(SEARCH("恶灵骑士",E231)),ISNUMBER(SEARCH("黑蝙蝠",E231)),ISNUMBER(SEARCH("血月使徒",E231))),"werewolves","villagers"))</f>
      </c>
      <c r="M231" s="0">
        <f>IF(F231="","",IF(ROUND(F231,2)=5,"win","loss"))</f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>
        <f>IF(D231="","",IFERROR(LOOKUP(2,1/(($D$2:$D$1001=D231)*($M$2:$M$1001="win")),$L$2:$L$1001),""))</f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>
        <f>IF(E232="","",IF(OR(ISNUMBER(SEARCH("狼",E232)),ISNUMBER(SEARCH("石像鬼",E232)),ISNUMBER(SEARCH("恶灵骑士",E232)),ISNUMBER(SEARCH("黑蝙蝠",E232)),ISNUMBER(SEARCH("血月使徒",E232))),"werewolves","villagers"))</f>
      </c>
      <c r="M232" s="0">
        <f>IF(F232="","",IF(ROUND(F232,2)=5,"win","loss"))</f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>
        <f>IF(D232="","",IFERROR(LOOKUP(2,1/(($D$2:$D$1001=D232)*($M$2:$M$1001="win")),$L$2:$L$1001),""))</f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>
        <f>IF(E233="","",IF(OR(ISNUMBER(SEARCH("狼",E233)),ISNUMBER(SEARCH("石像鬼",E233)),ISNUMBER(SEARCH("恶灵骑士",E233)),ISNUMBER(SEARCH("黑蝙蝠",E233)),ISNUMBER(SEARCH("血月使徒",E233))),"werewolves","villagers"))</f>
      </c>
      <c r="M233" s="0">
        <f>IF(F233="","",IF(ROUND(F233,2)=5,"win","loss"))</f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>
        <f>IF(D233="","",IFERROR(LOOKUP(2,1/(($D$2:$D$1001=D233)*($M$2:$M$1001="win")),$L$2:$L$1001),""))</f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>
        <f>IF(E234="","",IF(OR(ISNUMBER(SEARCH("狼",E234)),ISNUMBER(SEARCH("石像鬼",E234)),ISNUMBER(SEARCH("恶灵骑士",E234)),ISNUMBER(SEARCH("黑蝙蝠",E234)),ISNUMBER(SEARCH("血月使徒",E234))),"werewolves","villagers"))</f>
      </c>
      <c r="M234" s="0">
        <f>IF(F234="","",IF(ROUND(F234,2)=5,"win","loss"))</f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>
        <f>IF(D234="","",IFERROR(LOOKUP(2,1/(($D$2:$D$1001=D234)*($M$2:$M$1001="win")),$L$2:$L$1001),""))</f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>
        <f>IF(E235="","",IF(OR(ISNUMBER(SEARCH("狼",E235)),ISNUMBER(SEARCH("石像鬼",E235)),ISNUMBER(SEARCH("恶灵骑士",E235)),ISNUMBER(SEARCH("黑蝙蝠",E235)),ISNUMBER(SEARCH("血月使徒",E235))),"werewolves","villagers"))</f>
      </c>
      <c r="M235" s="0">
        <f>IF(F235="","",IF(ROUND(F235,2)=5,"win","loss"))</f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>
        <f>IF(D235="","",IFERROR(LOOKUP(2,1/(($D$2:$D$1001=D235)*($M$2:$M$1001="win")),$L$2:$L$1001),""))</f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 t="inlineStr">
        <is>
          <t xml:space="preserve"/>
        </is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>
        <f>IF(E236="","",IF(OR(ISNUMBER(SEARCH("狼",E236)),ISNUMBER(SEARCH("石像鬼",E236)),ISNUMBER(SEARCH("恶灵骑士",E236)),ISNUMBER(SEARCH("黑蝙蝠",E236)),ISNUMBER(SEARCH("血月使徒",E236))),"werewolves","villagers"))</f>
      </c>
      <c r="M236" s="0">
        <f>IF(F236="","",IF(ROUND(F236,2)=5,"win","loss"))</f>
      </c>
      <c r="N236" s="0" t="inlineStr">
        <is>
          <t xml:space="preserve"/>
        </is>
      </c>
      <c r="O236" s="0" t="inlineStr">
        <is>
          <t xml:space="preserve"/>
        </is>
      </c>
      <c r="P236" s="0" t="inlineStr">
        <is>
          <t xml:space="preserve"/>
        </is>
      </c>
      <c r="Q236" s="0" t="inlineStr">
        <is>
          <t xml:space="preserve"/>
        </is>
      </c>
      <c r="R236" s="0">
        <f>IF(D236="","",IFERROR(LOOKUP(2,1/(($D$2:$D$1001=D236)*($M$2:$M$1001="win")),$L$2:$L$1001),""))</f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>
        <f>IF(E237="","",IF(OR(ISNUMBER(SEARCH("狼",E237)),ISNUMBER(SEARCH("石像鬼",E237)),ISNUMBER(SEARCH("恶灵骑士",E237)),ISNUMBER(SEARCH("黑蝙蝠",E237)),ISNUMBER(SEARCH("血月使徒",E237))),"werewolves","villagers"))</f>
      </c>
      <c r="M237" s="0">
        <f>IF(F237="","",IF(ROUND(F237,2)=5,"win","loss"))</f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>
        <f>IF(D237="","",IFERROR(LOOKUP(2,1/(($D$2:$D$1001=D237)*($M$2:$M$1001="win")),$L$2:$L$1001),""))</f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>
        <f>IF(E238="","",IF(OR(ISNUMBER(SEARCH("狼",E238)),ISNUMBER(SEARCH("石像鬼",E238)),ISNUMBER(SEARCH("恶灵骑士",E238)),ISNUMBER(SEARCH("黑蝙蝠",E238)),ISNUMBER(SEARCH("血月使徒",E238))),"werewolves","villagers"))</f>
      </c>
      <c r="M238" s="0">
        <f>IF(F238="","",IF(ROUND(F238,2)=5,"win","loss"))</f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>
        <f>IF(D238="","",IFERROR(LOOKUP(2,1/(($D$2:$D$1001=D238)*($M$2:$M$1001="win")),$L$2:$L$1001),""))</f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 t="inlineStr">
        <is>
          <t xml:space="preserve"/>
        </is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>
        <f>IF(E239="","",IF(OR(ISNUMBER(SEARCH("狼",E239)),ISNUMBER(SEARCH("石像鬼",E239)),ISNUMBER(SEARCH("恶灵骑士",E239)),ISNUMBER(SEARCH("黑蝙蝠",E239)),ISNUMBER(SEARCH("血月使徒",E239))),"werewolves","villagers"))</f>
      </c>
      <c r="M239" s="0">
        <f>IF(F239="","",IF(ROUND(F239,2)=5,"win","loss"))</f>
      </c>
      <c r="N239" s="0" t="inlineStr">
        <is>
          <t xml:space="preserve"/>
        </is>
      </c>
      <c r="O239" s="0" t="inlineStr">
        <is>
          <t xml:space="preserve"/>
        </is>
      </c>
      <c r="P239" s="0" t="inlineStr">
        <is>
          <t xml:space="preserve"/>
        </is>
      </c>
      <c r="Q239" s="0" t="inlineStr">
        <is>
          <t xml:space="preserve"/>
        </is>
      </c>
      <c r="R239" s="0">
        <f>IF(D239="","",IFERROR(LOOKUP(2,1/(($D$2:$D$1001=D239)*($M$2:$M$1001="win")),$L$2:$L$1001),""))</f>
      </c>
      <c r="S239" s="0" t="inlineStr">
        <is>
          <t xml:space="preserve"/>
        </is>
      </c>
      <c r="T239" s="0" t="inlineStr">
        <is>
          <t xml:space="preserve"/>
        </is>
      </c>
      <c r="U239" s="0" t="inlineStr">
        <is>
          <t xml:space="preserve"/>
        </is>
      </c>
      <c r="V239" s="0" t="inlineStr">
        <is>
          <t xml:space="preserve"/>
        </is>
      </c>
      <c r="W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>
        <f>IF(E240="","",IF(OR(ISNUMBER(SEARCH("狼",E240)),ISNUMBER(SEARCH("石像鬼",E240)),ISNUMBER(SEARCH("恶灵骑士",E240)),ISNUMBER(SEARCH("黑蝙蝠",E240)),ISNUMBER(SEARCH("血月使徒",E240))),"werewolves","villagers"))</f>
      </c>
      <c r="M240" s="0">
        <f>IF(F240="","",IF(ROUND(F240,2)=5,"win","loss"))</f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>
        <f>IF(D240="","",IFERROR(LOOKUP(2,1/(($D$2:$D$1001=D240)*($M$2:$M$1001="win")),$L$2:$L$1001),""))</f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>
        <f>IF(E241="","",IF(OR(ISNUMBER(SEARCH("狼",E241)),ISNUMBER(SEARCH("石像鬼",E241)),ISNUMBER(SEARCH("恶灵骑士",E241)),ISNUMBER(SEARCH("黑蝙蝠",E241)),ISNUMBER(SEARCH("血月使徒",E241))),"werewolves","villagers"))</f>
      </c>
      <c r="M241" s="0">
        <f>IF(F241="","",IF(ROUND(F241,2)=5,"win","loss"))</f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>
        <f>IF(D241="","",IFERROR(LOOKUP(2,1/(($D$2:$D$1001=D241)*($M$2:$M$1001="win")),$L$2:$L$1001),""))</f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>
        <f>IF(E242="","",IF(OR(ISNUMBER(SEARCH("狼",E242)),ISNUMBER(SEARCH("石像鬼",E242)),ISNUMBER(SEARCH("恶灵骑士",E242)),ISNUMBER(SEARCH("黑蝙蝠",E242)),ISNUMBER(SEARCH("血月使徒",E242))),"werewolves","villagers"))</f>
      </c>
      <c r="M242" s="0">
        <f>IF(F242="","",IF(ROUND(F242,2)=5,"win","loss"))</f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>
        <f>IF(D242="","",IFERROR(LOOKUP(2,1/(($D$2:$D$1001=D242)*($M$2:$M$1001="win")),$L$2:$L$1001),""))</f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>
        <f>IF(E243="","",IF(OR(ISNUMBER(SEARCH("狼",E243)),ISNUMBER(SEARCH("石像鬼",E243)),ISNUMBER(SEARCH("恶灵骑士",E243)),ISNUMBER(SEARCH("黑蝙蝠",E243)),ISNUMBER(SEARCH("血月使徒",E243))),"werewolves","villagers"))</f>
      </c>
      <c r="M243" s="0">
        <f>IF(F243="","",IF(ROUND(F243,2)=5,"win","loss"))</f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>
        <f>IF(D243="","",IFERROR(LOOKUP(2,1/(($D$2:$D$1001=D243)*($M$2:$M$1001="win")),$L$2:$L$1001),""))</f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>
        <f>IF(E244="","",IF(OR(ISNUMBER(SEARCH("狼",E244)),ISNUMBER(SEARCH("石像鬼",E244)),ISNUMBER(SEARCH("恶灵骑士",E244)),ISNUMBER(SEARCH("黑蝙蝠",E244)),ISNUMBER(SEARCH("血月使徒",E244))),"werewolves","villagers"))</f>
      </c>
      <c r="M244" s="0">
        <f>IF(F244="","",IF(ROUND(F244,2)=5,"win","loss"))</f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>
        <f>IF(D244="","",IFERROR(LOOKUP(2,1/(($D$2:$D$1001=D244)*($M$2:$M$1001="win")),$L$2:$L$1001),""))</f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 t="inlineStr">
        <is>
          <t xml:space="preserve"/>
        </is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>
        <f>IF(E245="","",IF(OR(ISNUMBER(SEARCH("狼",E245)),ISNUMBER(SEARCH("石像鬼",E245)),ISNUMBER(SEARCH("恶灵骑士",E245)),ISNUMBER(SEARCH("黑蝙蝠",E245)),ISNUMBER(SEARCH("血月使徒",E245))),"werewolves","villagers"))</f>
      </c>
      <c r="M245" s="0">
        <f>IF(F245="","",IF(ROUND(F245,2)=5,"win","loss"))</f>
      </c>
      <c r="N245" s="0" t="inlineStr">
        <is>
          <t xml:space="preserve"/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/>
        </is>
      </c>
      <c r="R245" s="0">
        <f>IF(D245="","",IFERROR(LOOKUP(2,1/(($D$2:$D$1001=D245)*($M$2:$M$1001="win")),$L$2:$L$1001),""))</f>
      </c>
      <c r="S245" s="0" t="inlineStr">
        <is>
          <t xml:space="preserve"/>
        </is>
      </c>
      <c r="T245" s="0" t="inlineStr">
        <is>
          <t xml:space="preserve"/>
        </is>
      </c>
      <c r="U245" s="0" t="inlineStr">
        <is>
          <t xml:space="preserve"/>
        </is>
      </c>
      <c r="V245" s="0" t="inlineStr">
        <is>
          <t xml:space="preserve"/>
        </is>
      </c>
      <c r="W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>
        <f>IF(E246="","",IF(OR(ISNUMBER(SEARCH("狼",E246)),ISNUMBER(SEARCH("石像鬼",E246)),ISNUMBER(SEARCH("恶灵骑士",E246)),ISNUMBER(SEARCH("黑蝙蝠",E246)),ISNUMBER(SEARCH("血月使徒",E246))),"werewolves","villagers"))</f>
      </c>
      <c r="M246" s="0">
        <f>IF(F246="","",IF(ROUND(F246,2)=5,"win","loss"))</f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>
        <f>IF(D246="","",IFERROR(LOOKUP(2,1/(($D$2:$D$1001=D246)*($M$2:$M$1001="win")),$L$2:$L$1001),""))</f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 t="inlineStr">
        <is>
          <t xml:space="preserve"/>
        </is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>
        <f>IF(E247="","",IF(OR(ISNUMBER(SEARCH("狼",E247)),ISNUMBER(SEARCH("石像鬼",E247)),ISNUMBER(SEARCH("恶灵骑士",E247)),ISNUMBER(SEARCH("黑蝙蝠",E247)),ISNUMBER(SEARCH("血月使徒",E247))),"werewolves","villagers"))</f>
      </c>
      <c r="M247" s="0">
        <f>IF(F247="","",IF(ROUND(F247,2)=5,"win","loss"))</f>
      </c>
      <c r="N247" s="0" t="inlineStr">
        <is>
          <t xml:space="preserve"/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/>
        </is>
      </c>
      <c r="R247" s="0">
        <f>IF(D247="","",IFERROR(LOOKUP(2,1/(($D$2:$D$1001=D247)*($M$2:$M$1001="win")),$L$2:$L$1001),""))</f>
      </c>
      <c r="S247" s="0" t="inlineStr">
        <is>
          <t xml:space="preserve"/>
        </is>
      </c>
      <c r="T247" s="0" t="inlineStr">
        <is>
          <t xml:space="preserve"/>
        </is>
      </c>
      <c r="U247" s="0" t="inlineStr">
        <is>
          <t xml:space="preserve"/>
        </is>
      </c>
      <c r="V247" s="0" t="inlineStr">
        <is>
          <t xml:space="preserve"/>
        </is>
      </c>
      <c r="W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>
        <f>IF(E248="","",IF(OR(ISNUMBER(SEARCH("狼",E248)),ISNUMBER(SEARCH("石像鬼",E248)),ISNUMBER(SEARCH("恶灵骑士",E248)),ISNUMBER(SEARCH("黑蝙蝠",E248)),ISNUMBER(SEARCH("血月使徒",E248))),"werewolves","villagers"))</f>
      </c>
      <c r="M248" s="0">
        <f>IF(F248="","",IF(ROUND(F248,2)=5,"win","loss"))</f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>
        <f>IF(D248="","",IFERROR(LOOKUP(2,1/(($D$2:$D$1001=D248)*($M$2:$M$1001="win")),$L$2:$L$1001),""))</f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>
        <f>IF(E249="","",IF(OR(ISNUMBER(SEARCH("狼",E249)),ISNUMBER(SEARCH("石像鬼",E249)),ISNUMBER(SEARCH("恶灵骑士",E249)),ISNUMBER(SEARCH("黑蝙蝠",E249)),ISNUMBER(SEARCH("血月使徒",E249))),"werewolves","villagers"))</f>
      </c>
      <c r="M249" s="0">
        <f>IF(F249="","",IF(ROUND(F249,2)=5,"win","loss"))</f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>
        <f>IF(D249="","",IFERROR(LOOKUP(2,1/(($D$2:$D$1001=D249)*($M$2:$M$1001="win")),$L$2:$L$1001),""))</f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>
        <f>IF(E250="","",IF(OR(ISNUMBER(SEARCH("狼",E250)),ISNUMBER(SEARCH("石像鬼",E250)),ISNUMBER(SEARCH("恶灵骑士",E250)),ISNUMBER(SEARCH("黑蝙蝠",E250)),ISNUMBER(SEARCH("血月使徒",E250))),"werewolves","villagers"))</f>
      </c>
      <c r="M250" s="0">
        <f>IF(F250="","",IF(ROUND(F250,2)=5,"win","loss"))</f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>
        <f>IF(D250="","",IFERROR(LOOKUP(2,1/(($D$2:$D$1001=D250)*($M$2:$M$1001="win")),$L$2:$L$1001),""))</f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>
        <f>IF(E251="","",IF(OR(ISNUMBER(SEARCH("狼",E251)),ISNUMBER(SEARCH("石像鬼",E251)),ISNUMBER(SEARCH("恶灵骑士",E251)),ISNUMBER(SEARCH("黑蝙蝠",E251)),ISNUMBER(SEARCH("血月使徒",E251))),"werewolves","villagers"))</f>
      </c>
      <c r="M251" s="0">
        <f>IF(F251="","",IF(ROUND(F251,2)=5,"win","loss"))</f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>
        <f>IF(D251="","",IFERROR(LOOKUP(2,1/(($D$2:$D$1001=D251)*($M$2:$M$1001="win")),$L$2:$L$1001),""))</f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>
        <f>IF(E252="","",IF(OR(ISNUMBER(SEARCH("狼",E252)),ISNUMBER(SEARCH("石像鬼",E252)),ISNUMBER(SEARCH("恶灵骑士",E252)),ISNUMBER(SEARCH("黑蝙蝠",E252)),ISNUMBER(SEARCH("血月使徒",E252))),"werewolves","villagers"))</f>
      </c>
      <c r="M252" s="0">
        <f>IF(F252="","",IF(ROUND(F252,2)=5,"win","loss"))</f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>
        <f>IF(D252="","",IFERROR(LOOKUP(2,1/(($D$2:$D$1001=D252)*($M$2:$M$1001="win")),$L$2:$L$1001),""))</f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>
        <f>IF(E253="","",IF(OR(ISNUMBER(SEARCH("狼",E253)),ISNUMBER(SEARCH("石像鬼",E253)),ISNUMBER(SEARCH("恶灵骑士",E253)),ISNUMBER(SEARCH("黑蝙蝠",E253)),ISNUMBER(SEARCH("血月使徒",E253))),"werewolves","villagers"))</f>
      </c>
      <c r="M253" s="0">
        <f>IF(F253="","",IF(ROUND(F253,2)=5,"win","loss"))</f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>
        <f>IF(D253="","",IFERROR(LOOKUP(2,1/(($D$2:$D$1001=D253)*($M$2:$M$1001="win")),$L$2:$L$1001),""))</f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 t="inlineStr">
        <is>
          <t xml:space="preserve"/>
        </is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>
        <f>IF(E254="","",IF(OR(ISNUMBER(SEARCH("狼",E254)),ISNUMBER(SEARCH("石像鬼",E254)),ISNUMBER(SEARCH("恶灵骑士",E254)),ISNUMBER(SEARCH("黑蝙蝠",E254)),ISNUMBER(SEARCH("血月使徒",E254))),"werewolves","villagers"))</f>
      </c>
      <c r="M254" s="0">
        <f>IF(F254="","",IF(ROUND(F254,2)=5,"win","loss"))</f>
      </c>
      <c r="N254" s="0" t="inlineStr">
        <is>
          <t xml:space="preserve"/>
        </is>
      </c>
      <c r="O254" s="0" t="inlineStr">
        <is>
          <t xml:space="preserve"/>
        </is>
      </c>
      <c r="P254" s="0" t="inlineStr">
        <is>
          <t xml:space="preserve"/>
        </is>
      </c>
      <c r="Q254" s="0" t="inlineStr">
        <is>
          <t xml:space="preserve"/>
        </is>
      </c>
      <c r="R254" s="0">
        <f>IF(D254="","",IFERROR(LOOKUP(2,1/(($D$2:$D$1001=D254)*($M$2:$M$1001="win")),$L$2:$L$1001),""))</f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/>
        </is>
      </c>
      <c r="W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>
        <f>IF(E255="","",IF(OR(ISNUMBER(SEARCH("狼",E255)),ISNUMBER(SEARCH("石像鬼",E255)),ISNUMBER(SEARCH("恶灵骑士",E255)),ISNUMBER(SEARCH("黑蝙蝠",E255)),ISNUMBER(SEARCH("血月使徒",E255))),"werewolves","villagers"))</f>
      </c>
      <c r="M255" s="0">
        <f>IF(F255="","",IF(ROUND(F255,2)=5,"win","loss"))</f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>
        <f>IF(D255="","",IFERROR(LOOKUP(2,1/(($D$2:$D$1001=D255)*($M$2:$M$1001="win")),$L$2:$L$1001),""))</f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>
        <f>IF(E256="","",IF(OR(ISNUMBER(SEARCH("狼",E256)),ISNUMBER(SEARCH("石像鬼",E256)),ISNUMBER(SEARCH("恶灵骑士",E256)),ISNUMBER(SEARCH("黑蝙蝠",E256)),ISNUMBER(SEARCH("血月使徒",E256))),"werewolves","villagers"))</f>
      </c>
      <c r="M256" s="0">
        <f>IF(F256="","",IF(ROUND(F256,2)=5,"win","loss"))</f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>
        <f>IF(D256="","",IFERROR(LOOKUP(2,1/(($D$2:$D$1001=D256)*($M$2:$M$1001="win")),$L$2:$L$1001),""))</f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>
        <f>IF(E257="","",IF(OR(ISNUMBER(SEARCH("狼",E257)),ISNUMBER(SEARCH("石像鬼",E257)),ISNUMBER(SEARCH("恶灵骑士",E257)),ISNUMBER(SEARCH("黑蝙蝠",E257)),ISNUMBER(SEARCH("血月使徒",E257))),"werewolves","villagers"))</f>
      </c>
      <c r="M257" s="0">
        <f>IF(F257="","",IF(ROUND(F257,2)=5,"win","loss"))</f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>
        <f>IF(D257="","",IFERROR(LOOKUP(2,1/(($D$2:$D$1001=D257)*($M$2:$M$1001="win")),$L$2:$L$1001),""))</f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 t="inlineStr">
        <is>
          <t xml:space="preserve"/>
        </is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>
        <f>IF(E258="","",IF(OR(ISNUMBER(SEARCH("狼",E258)),ISNUMBER(SEARCH("石像鬼",E258)),ISNUMBER(SEARCH("恶灵骑士",E258)),ISNUMBER(SEARCH("黑蝙蝠",E258)),ISNUMBER(SEARCH("血月使徒",E258))),"werewolves","villagers"))</f>
      </c>
      <c r="M258" s="0">
        <f>IF(F258="","",IF(ROUND(F258,2)=5,"win","loss"))</f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>
        <f>IF(D258="","",IFERROR(LOOKUP(2,1/(($D$2:$D$1001=D258)*($M$2:$M$1001="win")),$L$2:$L$1001),""))</f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 t="inlineStr">
        <is>
          <t xml:space="preserve"/>
        </is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>
        <f>IF(E259="","",IF(OR(ISNUMBER(SEARCH("狼",E259)),ISNUMBER(SEARCH("石像鬼",E259)),ISNUMBER(SEARCH("恶灵骑士",E259)),ISNUMBER(SEARCH("黑蝙蝠",E259)),ISNUMBER(SEARCH("血月使徒",E259))),"werewolves","villagers"))</f>
      </c>
      <c r="M259" s="0">
        <f>IF(F259="","",IF(ROUND(F259,2)=5,"win","loss"))</f>
      </c>
      <c r="N259" s="0" t="inlineStr">
        <is>
          <t xml:space="preserve"/>
        </is>
      </c>
      <c r="O259" s="0" t="inlineStr">
        <is>
          <t xml:space="preserve"/>
        </is>
      </c>
      <c r="P259" s="0" t="inlineStr">
        <is>
          <t xml:space="preserve"/>
        </is>
      </c>
      <c r="Q259" s="0" t="inlineStr">
        <is>
          <t xml:space="preserve"/>
        </is>
      </c>
      <c r="R259" s="0">
        <f>IF(D259="","",IFERROR(LOOKUP(2,1/(($D$2:$D$1001=D259)*($M$2:$M$1001="win")),$L$2:$L$1001),""))</f>
      </c>
      <c r="S259" s="0" t="inlineStr">
        <is>
          <t xml:space="preserve"/>
        </is>
      </c>
      <c r="T259" s="0" t="inlineStr">
        <is>
          <t xml:space="preserve"/>
        </is>
      </c>
      <c r="U259" s="0" t="inlineStr">
        <is>
          <t xml:space="preserve"/>
        </is>
      </c>
      <c r="V259" s="0" t="inlineStr">
        <is>
          <t xml:space="preserve"/>
        </is>
      </c>
      <c r="W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>
        <f>IF(E260="","",IF(OR(ISNUMBER(SEARCH("狼",E260)),ISNUMBER(SEARCH("石像鬼",E260)),ISNUMBER(SEARCH("恶灵骑士",E260)),ISNUMBER(SEARCH("黑蝙蝠",E260)),ISNUMBER(SEARCH("血月使徒",E260))),"werewolves","villagers"))</f>
      </c>
      <c r="M260" s="0">
        <f>IF(F260="","",IF(ROUND(F260,2)=5,"win","loss"))</f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>
        <f>IF(D260="","",IFERROR(LOOKUP(2,1/(($D$2:$D$1001=D260)*($M$2:$M$1001="win")),$L$2:$L$1001),""))</f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>
        <f>IF(E261="","",IF(OR(ISNUMBER(SEARCH("狼",E261)),ISNUMBER(SEARCH("石像鬼",E261)),ISNUMBER(SEARCH("恶灵骑士",E261)),ISNUMBER(SEARCH("黑蝙蝠",E261)),ISNUMBER(SEARCH("血月使徒",E261))),"werewolves","villagers"))</f>
      </c>
      <c r="M261" s="0">
        <f>IF(F261="","",IF(ROUND(F261,2)=5,"win","loss"))</f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>
        <f>IF(D261="","",IFERROR(LOOKUP(2,1/(($D$2:$D$1001=D261)*($M$2:$M$1001="win")),$L$2:$L$1001),""))</f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 t="inlineStr">
        <is>
          <t xml:space="preserve"/>
        </is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>
        <f>IF(E262="","",IF(OR(ISNUMBER(SEARCH("狼",E262)),ISNUMBER(SEARCH("石像鬼",E262)),ISNUMBER(SEARCH("恶灵骑士",E262)),ISNUMBER(SEARCH("黑蝙蝠",E262)),ISNUMBER(SEARCH("血月使徒",E262))),"werewolves","villagers"))</f>
      </c>
      <c r="M262" s="0">
        <f>IF(F262="","",IF(ROUND(F262,2)=5,"win","loss"))</f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>
        <f>IF(D262="","",IFERROR(LOOKUP(2,1/(($D$2:$D$1001=D262)*($M$2:$M$1001="win")),$L$2:$L$1001),""))</f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>
        <f>IF(E263="","",IF(OR(ISNUMBER(SEARCH("狼",E263)),ISNUMBER(SEARCH("石像鬼",E263)),ISNUMBER(SEARCH("恶灵骑士",E263)),ISNUMBER(SEARCH("黑蝙蝠",E263)),ISNUMBER(SEARCH("血月使徒",E263))),"werewolves","villagers"))</f>
      </c>
      <c r="M263" s="0">
        <f>IF(F263="","",IF(ROUND(F263,2)=5,"win","loss"))</f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>
        <f>IF(D263="","",IFERROR(LOOKUP(2,1/(($D$2:$D$1001=D263)*($M$2:$M$1001="win")),$L$2:$L$1001),""))</f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>
        <f>IF(E264="","",IF(OR(ISNUMBER(SEARCH("狼",E264)),ISNUMBER(SEARCH("石像鬼",E264)),ISNUMBER(SEARCH("恶灵骑士",E264)),ISNUMBER(SEARCH("黑蝙蝠",E264)),ISNUMBER(SEARCH("血月使徒",E264))),"werewolves","villagers"))</f>
      </c>
      <c r="M264" s="0">
        <f>IF(F264="","",IF(ROUND(F264,2)=5,"win","loss"))</f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>
        <f>IF(D264="","",IFERROR(LOOKUP(2,1/(($D$2:$D$1001=D264)*($M$2:$M$1001="win")),$L$2:$L$1001),""))</f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>
        <f>IF(E265="","",IF(OR(ISNUMBER(SEARCH("狼",E265)),ISNUMBER(SEARCH("石像鬼",E265)),ISNUMBER(SEARCH("恶灵骑士",E265)),ISNUMBER(SEARCH("黑蝙蝠",E265)),ISNUMBER(SEARCH("血月使徒",E265))),"werewolves","villagers"))</f>
      </c>
      <c r="M265" s="0">
        <f>IF(F265="","",IF(ROUND(F265,2)=5,"win","loss"))</f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>
        <f>IF(D265="","",IFERROR(LOOKUP(2,1/(($D$2:$D$1001=D265)*($M$2:$M$1001="win")),$L$2:$L$1001),""))</f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>
        <f>IF(E266="","",IF(OR(ISNUMBER(SEARCH("狼",E266)),ISNUMBER(SEARCH("石像鬼",E266)),ISNUMBER(SEARCH("恶灵骑士",E266)),ISNUMBER(SEARCH("黑蝙蝠",E266)),ISNUMBER(SEARCH("血月使徒",E266))),"werewolves","villagers"))</f>
      </c>
      <c r="M266" s="0">
        <f>IF(F266="","",IF(ROUND(F266,2)=5,"win","loss"))</f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>
        <f>IF(D266="","",IFERROR(LOOKUP(2,1/(($D$2:$D$1001=D266)*($M$2:$M$1001="win")),$L$2:$L$1001),""))</f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 t="inlineStr">
        <is>
          <t xml:space="preserve"/>
        </is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>
        <f>IF(E267="","",IF(OR(ISNUMBER(SEARCH("狼",E267)),ISNUMBER(SEARCH("石像鬼",E267)),ISNUMBER(SEARCH("恶灵骑士",E267)),ISNUMBER(SEARCH("黑蝙蝠",E267)),ISNUMBER(SEARCH("血月使徒",E267))),"werewolves","villagers"))</f>
      </c>
      <c r="M267" s="0">
        <f>IF(F267="","",IF(ROUND(F267,2)=5,"win","loss"))</f>
      </c>
      <c r="N267" s="0" t="inlineStr">
        <is>
          <t xml:space="preserve"/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/>
        </is>
      </c>
      <c r="R267" s="0">
        <f>IF(D267="","",IFERROR(LOOKUP(2,1/(($D$2:$D$1001=D267)*($M$2:$M$1001="win")),$L$2:$L$1001),""))</f>
      </c>
      <c r="S267" s="0" t="inlineStr">
        <is>
          <t xml:space="preserve"/>
        </is>
      </c>
      <c r="T267" s="0" t="inlineStr">
        <is>
          <t xml:space="preserve"/>
        </is>
      </c>
      <c r="U267" s="0" t="inlineStr">
        <is>
          <t xml:space="preserve"/>
        </is>
      </c>
      <c r="V267" s="0" t="inlineStr">
        <is>
          <t xml:space="preserve"/>
        </is>
      </c>
      <c r="W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 t="inlineStr">
        <is>
          <t xml:space="preserve"/>
        </is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>
        <f>IF(E268="","",IF(OR(ISNUMBER(SEARCH("狼",E268)),ISNUMBER(SEARCH("石像鬼",E268)),ISNUMBER(SEARCH("恶灵骑士",E268)),ISNUMBER(SEARCH("黑蝙蝠",E268)),ISNUMBER(SEARCH("血月使徒",E268))),"werewolves","villagers"))</f>
      </c>
      <c r="M268" s="0">
        <f>IF(F268="","",IF(ROUND(F268,2)=5,"win","loss"))</f>
      </c>
      <c r="N268" s="0" t="inlineStr">
        <is>
          <t xml:space="preserve"/>
        </is>
      </c>
      <c r="O268" s="0" t="inlineStr">
        <is>
          <t xml:space="preserve"/>
        </is>
      </c>
      <c r="P268" s="0" t="inlineStr">
        <is>
          <t xml:space="preserve"/>
        </is>
      </c>
      <c r="Q268" s="0" t="inlineStr">
        <is>
          <t xml:space="preserve"/>
        </is>
      </c>
      <c r="R268" s="0">
        <f>IF(D268="","",IFERROR(LOOKUP(2,1/(($D$2:$D$1001=D268)*($M$2:$M$1001="win")),$L$2:$L$1001),""))</f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/>
        </is>
      </c>
      <c r="W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 t="inlineStr">
        <is>
          <t xml:space="preserve"/>
        </is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>
        <f>IF(E269="","",IF(OR(ISNUMBER(SEARCH("狼",E269)),ISNUMBER(SEARCH("石像鬼",E269)),ISNUMBER(SEARCH("恶灵骑士",E269)),ISNUMBER(SEARCH("黑蝙蝠",E269)),ISNUMBER(SEARCH("血月使徒",E269))),"werewolves","villagers"))</f>
      </c>
      <c r="M269" s="0">
        <f>IF(F269="","",IF(ROUND(F269,2)=5,"win","loss"))</f>
      </c>
      <c r="N269" s="0" t="inlineStr">
        <is>
          <t xml:space="preserve"/>
        </is>
      </c>
      <c r="O269" s="0" t="inlineStr">
        <is>
          <t xml:space="preserve"/>
        </is>
      </c>
      <c r="P269" s="0" t="inlineStr">
        <is>
          <t xml:space="preserve"/>
        </is>
      </c>
      <c r="Q269" s="0" t="inlineStr">
        <is>
          <t xml:space="preserve"/>
        </is>
      </c>
      <c r="R269" s="0">
        <f>IF(D269="","",IFERROR(LOOKUP(2,1/(($D$2:$D$1001=D269)*($M$2:$M$1001="win")),$L$2:$L$1001),""))</f>
      </c>
      <c r="S269" s="0" t="inlineStr">
        <is>
          <t xml:space="preserve"/>
        </is>
      </c>
      <c r="T269" s="0" t="inlineStr">
        <is>
          <t xml:space="preserve"/>
        </is>
      </c>
      <c r="U269" s="0" t="inlineStr">
        <is>
          <t xml:space="preserve"/>
        </is>
      </c>
      <c r="V269" s="0" t="inlineStr">
        <is>
          <t xml:space="preserve"/>
        </is>
      </c>
      <c r="W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>
        <f>IF(E270="","",IF(OR(ISNUMBER(SEARCH("狼",E270)),ISNUMBER(SEARCH("石像鬼",E270)),ISNUMBER(SEARCH("恶灵骑士",E270)),ISNUMBER(SEARCH("黑蝙蝠",E270)),ISNUMBER(SEARCH("血月使徒",E270))),"werewolves","villagers"))</f>
      </c>
      <c r="M270" s="0">
        <f>IF(F270="","",IF(ROUND(F270,2)=5,"win","loss"))</f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>
        <f>IF(D270="","",IFERROR(LOOKUP(2,1/(($D$2:$D$1001=D270)*($M$2:$M$1001="win")),$L$2:$L$1001),""))</f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>
        <f>IF(E271="","",IF(OR(ISNUMBER(SEARCH("狼",E271)),ISNUMBER(SEARCH("石像鬼",E271)),ISNUMBER(SEARCH("恶灵骑士",E271)),ISNUMBER(SEARCH("黑蝙蝠",E271)),ISNUMBER(SEARCH("血月使徒",E271))),"werewolves","villagers"))</f>
      </c>
      <c r="M271" s="0">
        <f>IF(F271="","",IF(ROUND(F271,2)=5,"win","loss"))</f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>
        <f>IF(D271="","",IFERROR(LOOKUP(2,1/(($D$2:$D$1001=D271)*($M$2:$M$1001="win")),$L$2:$L$1001),""))</f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 t="inlineStr">
        <is>
          <t xml:space="preserve"/>
        </is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>
        <f>IF(E272="","",IF(OR(ISNUMBER(SEARCH("狼",E272)),ISNUMBER(SEARCH("石像鬼",E272)),ISNUMBER(SEARCH("恶灵骑士",E272)),ISNUMBER(SEARCH("黑蝙蝠",E272)),ISNUMBER(SEARCH("血月使徒",E272))),"werewolves","villagers"))</f>
      </c>
      <c r="M272" s="0">
        <f>IF(F272="","",IF(ROUND(F272,2)=5,"win","loss"))</f>
      </c>
      <c r="N272" s="0" t="inlineStr">
        <is>
          <t xml:space="preserve"/>
        </is>
      </c>
      <c r="O272" s="0" t="inlineStr">
        <is>
          <t xml:space="preserve"/>
        </is>
      </c>
      <c r="P272" s="0" t="inlineStr">
        <is>
          <t xml:space="preserve"/>
        </is>
      </c>
      <c r="Q272" s="0" t="inlineStr">
        <is>
          <t xml:space="preserve"/>
        </is>
      </c>
      <c r="R272" s="0">
        <f>IF(D272="","",IFERROR(LOOKUP(2,1/(($D$2:$D$1001=D272)*($M$2:$M$1001="win")),$L$2:$L$1001),""))</f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/>
        </is>
      </c>
      <c r="W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 t="inlineStr">
        <is>
          <t xml:space="preserve"/>
        </is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>
        <f>IF(E273="","",IF(OR(ISNUMBER(SEARCH("狼",E273)),ISNUMBER(SEARCH("石像鬼",E273)),ISNUMBER(SEARCH("恶灵骑士",E273)),ISNUMBER(SEARCH("黑蝙蝠",E273)),ISNUMBER(SEARCH("血月使徒",E273))),"werewolves","villagers"))</f>
      </c>
      <c r="M273" s="0">
        <f>IF(F273="","",IF(ROUND(F273,2)=5,"win","loss"))</f>
      </c>
      <c r="N273" s="0" t="inlineStr">
        <is>
          <t xml:space="preserve"/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/>
        </is>
      </c>
      <c r="R273" s="0">
        <f>IF(D273="","",IFERROR(LOOKUP(2,1/(($D$2:$D$1001=D273)*($M$2:$M$1001="win")),$L$2:$L$1001),""))</f>
      </c>
      <c r="S273" s="0" t="inlineStr">
        <is>
          <t xml:space="preserve"/>
        </is>
      </c>
      <c r="T273" s="0" t="inlineStr">
        <is>
          <t xml:space="preserve"/>
        </is>
      </c>
      <c r="U273" s="0" t="inlineStr">
        <is>
          <t xml:space="preserve"/>
        </is>
      </c>
      <c r="V273" s="0" t="inlineStr">
        <is>
          <t xml:space="preserve"/>
        </is>
      </c>
      <c r="W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 t="inlineStr">
        <is>
          <t xml:space="preserve"/>
        </is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>
        <f>IF(E274="","",IF(OR(ISNUMBER(SEARCH("狼",E274)),ISNUMBER(SEARCH("石像鬼",E274)),ISNUMBER(SEARCH("恶灵骑士",E274)),ISNUMBER(SEARCH("黑蝙蝠",E274)),ISNUMBER(SEARCH("血月使徒",E274))),"werewolves","villagers"))</f>
      </c>
      <c r="M274" s="0">
        <f>IF(F274="","",IF(ROUND(F274,2)=5,"win","loss"))</f>
      </c>
      <c r="N274" s="0" t="inlineStr">
        <is>
          <t xml:space="preserve"/>
        </is>
      </c>
      <c r="O274" s="0" t="inlineStr">
        <is>
          <t xml:space="preserve"/>
        </is>
      </c>
      <c r="P274" s="0" t="inlineStr">
        <is>
          <t xml:space="preserve"/>
        </is>
      </c>
      <c r="Q274" s="0" t="inlineStr">
        <is>
          <t xml:space="preserve"/>
        </is>
      </c>
      <c r="R274" s="0">
        <f>IF(D274="","",IFERROR(LOOKUP(2,1/(($D$2:$D$1001=D274)*($M$2:$M$1001="win")),$L$2:$L$1001),""))</f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>
        <f>IF(E275="","",IF(OR(ISNUMBER(SEARCH("狼",E275)),ISNUMBER(SEARCH("石像鬼",E275)),ISNUMBER(SEARCH("恶灵骑士",E275)),ISNUMBER(SEARCH("黑蝙蝠",E275)),ISNUMBER(SEARCH("血月使徒",E275))),"werewolves","villagers"))</f>
      </c>
      <c r="M275" s="0">
        <f>IF(F275="","",IF(ROUND(F275,2)=5,"win","loss"))</f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>
        <f>IF(D275="","",IFERROR(LOOKUP(2,1/(($D$2:$D$1001=D275)*($M$2:$M$1001="win")),$L$2:$L$1001),""))</f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>
        <f>IF(E276="","",IF(OR(ISNUMBER(SEARCH("狼",E276)),ISNUMBER(SEARCH("石像鬼",E276)),ISNUMBER(SEARCH("恶灵骑士",E276)),ISNUMBER(SEARCH("黑蝙蝠",E276)),ISNUMBER(SEARCH("血月使徒",E276))),"werewolves","villagers"))</f>
      </c>
      <c r="M276" s="0">
        <f>IF(F276="","",IF(ROUND(F276,2)=5,"win","loss"))</f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>
        <f>IF(D276="","",IFERROR(LOOKUP(2,1/(($D$2:$D$1001=D276)*($M$2:$M$1001="win")),$L$2:$L$1001),""))</f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>
        <f>IF(E277="","",IF(OR(ISNUMBER(SEARCH("狼",E277)),ISNUMBER(SEARCH("石像鬼",E277)),ISNUMBER(SEARCH("恶灵骑士",E277)),ISNUMBER(SEARCH("黑蝙蝠",E277)),ISNUMBER(SEARCH("血月使徒",E277))),"werewolves","villagers"))</f>
      </c>
      <c r="M277" s="0">
        <f>IF(F277="","",IF(ROUND(F277,2)=5,"win","loss"))</f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>
        <f>IF(D277="","",IFERROR(LOOKUP(2,1/(($D$2:$D$1001=D277)*($M$2:$M$1001="win")),$L$2:$L$1001),""))</f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>
        <f>IF(E278="","",IF(OR(ISNUMBER(SEARCH("狼",E278)),ISNUMBER(SEARCH("石像鬼",E278)),ISNUMBER(SEARCH("恶灵骑士",E278)),ISNUMBER(SEARCH("黑蝙蝠",E278)),ISNUMBER(SEARCH("血月使徒",E278))),"werewolves","villagers"))</f>
      </c>
      <c r="M278" s="0">
        <f>IF(F278="","",IF(ROUND(F278,2)=5,"win","loss"))</f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>
        <f>IF(D278="","",IFERROR(LOOKUP(2,1/(($D$2:$D$1001=D278)*($M$2:$M$1001="win")),$L$2:$L$1001),""))</f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>
        <f>IF(E279="","",IF(OR(ISNUMBER(SEARCH("狼",E279)),ISNUMBER(SEARCH("石像鬼",E279)),ISNUMBER(SEARCH("恶灵骑士",E279)),ISNUMBER(SEARCH("黑蝙蝠",E279)),ISNUMBER(SEARCH("血月使徒",E279))),"werewolves","villagers"))</f>
      </c>
      <c r="M279" s="0">
        <f>IF(F279="","",IF(ROUND(F279,2)=5,"win","loss"))</f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>
        <f>IF(D279="","",IFERROR(LOOKUP(2,1/(($D$2:$D$1001=D279)*($M$2:$M$1001="win")),$L$2:$L$1001),""))</f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>
        <f>IF(E280="","",IF(OR(ISNUMBER(SEARCH("狼",E280)),ISNUMBER(SEARCH("石像鬼",E280)),ISNUMBER(SEARCH("恶灵骑士",E280)),ISNUMBER(SEARCH("黑蝙蝠",E280)),ISNUMBER(SEARCH("血月使徒",E280))),"werewolves","villagers"))</f>
      </c>
      <c r="M280" s="0">
        <f>IF(F280="","",IF(ROUND(F280,2)=5,"win","loss"))</f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>
        <f>IF(D280="","",IFERROR(LOOKUP(2,1/(($D$2:$D$1001=D280)*($M$2:$M$1001="win")),$L$2:$L$1001),""))</f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>
        <f>IF(E281="","",IF(OR(ISNUMBER(SEARCH("狼",E281)),ISNUMBER(SEARCH("石像鬼",E281)),ISNUMBER(SEARCH("恶灵骑士",E281)),ISNUMBER(SEARCH("黑蝙蝠",E281)),ISNUMBER(SEARCH("血月使徒",E281))),"werewolves","villagers"))</f>
      </c>
      <c r="M281" s="0">
        <f>IF(F281="","",IF(ROUND(F281,2)=5,"win","loss"))</f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>
        <f>IF(D281="","",IFERROR(LOOKUP(2,1/(($D$2:$D$1001=D281)*($M$2:$M$1001="win")),$L$2:$L$1001),""))</f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 t="inlineStr">
        <is>
          <t xml:space="preserve"/>
        </is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>
        <f>IF(E282="","",IF(OR(ISNUMBER(SEARCH("狼",E282)),ISNUMBER(SEARCH("石像鬼",E282)),ISNUMBER(SEARCH("恶灵骑士",E282)),ISNUMBER(SEARCH("黑蝙蝠",E282)),ISNUMBER(SEARCH("血月使徒",E282))),"werewolves","villagers"))</f>
      </c>
      <c r="M282" s="0">
        <f>IF(F282="","",IF(ROUND(F282,2)=5,"win","loss"))</f>
      </c>
      <c r="N282" s="0" t="inlineStr">
        <is>
          <t xml:space="preserve"/>
        </is>
      </c>
      <c r="O282" s="0" t="inlineStr">
        <is>
          <t xml:space="preserve"/>
        </is>
      </c>
      <c r="P282" s="0" t="inlineStr">
        <is>
          <t xml:space="preserve"/>
        </is>
      </c>
      <c r="Q282" s="0" t="inlineStr">
        <is>
          <t xml:space="preserve"/>
        </is>
      </c>
      <c r="R282" s="0">
        <f>IF(D282="","",IFERROR(LOOKUP(2,1/(($D$2:$D$1001=D282)*($M$2:$M$1001="win")),$L$2:$L$1001),""))</f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/>
        </is>
      </c>
      <c r="W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>
        <f>IF(E283="","",IF(OR(ISNUMBER(SEARCH("狼",E283)),ISNUMBER(SEARCH("石像鬼",E283)),ISNUMBER(SEARCH("恶灵骑士",E283)),ISNUMBER(SEARCH("黑蝙蝠",E283)),ISNUMBER(SEARCH("血月使徒",E283))),"werewolves","villagers"))</f>
      </c>
      <c r="M283" s="0">
        <f>IF(F283="","",IF(ROUND(F283,2)=5,"win","loss"))</f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>
        <f>IF(D283="","",IFERROR(LOOKUP(2,1/(($D$2:$D$1001=D283)*($M$2:$M$1001="win")),$L$2:$L$1001),""))</f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>
        <f>IF(E284="","",IF(OR(ISNUMBER(SEARCH("狼",E284)),ISNUMBER(SEARCH("石像鬼",E284)),ISNUMBER(SEARCH("恶灵骑士",E284)),ISNUMBER(SEARCH("黑蝙蝠",E284)),ISNUMBER(SEARCH("血月使徒",E284))),"werewolves","villagers"))</f>
      </c>
      <c r="M284" s="0">
        <f>IF(F284="","",IF(ROUND(F284,2)=5,"win","loss"))</f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>
        <f>IF(D284="","",IFERROR(LOOKUP(2,1/(($D$2:$D$1001=D284)*($M$2:$M$1001="win")),$L$2:$L$1001),""))</f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>
        <f>IF(E285="","",IF(OR(ISNUMBER(SEARCH("狼",E285)),ISNUMBER(SEARCH("石像鬼",E285)),ISNUMBER(SEARCH("恶灵骑士",E285)),ISNUMBER(SEARCH("黑蝙蝠",E285)),ISNUMBER(SEARCH("血月使徒",E285))),"werewolves","villagers"))</f>
      </c>
      <c r="M285" s="0">
        <f>IF(F285="","",IF(ROUND(F285,2)=5,"win","loss"))</f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>
        <f>IF(D285="","",IFERROR(LOOKUP(2,1/(($D$2:$D$1001=D285)*($M$2:$M$1001="win")),$L$2:$L$1001),""))</f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>
        <f>IF(E286="","",IF(OR(ISNUMBER(SEARCH("狼",E286)),ISNUMBER(SEARCH("石像鬼",E286)),ISNUMBER(SEARCH("恶灵骑士",E286)),ISNUMBER(SEARCH("黑蝙蝠",E286)),ISNUMBER(SEARCH("血月使徒",E286))),"werewolves","villagers"))</f>
      </c>
      <c r="M286" s="0">
        <f>IF(F286="","",IF(ROUND(F286,2)=5,"win","loss"))</f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>
        <f>IF(D286="","",IFERROR(LOOKUP(2,1/(($D$2:$D$1001=D286)*($M$2:$M$1001="win")),$L$2:$L$1001),""))</f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 t="inlineStr">
        <is>
          <t xml:space="preserve"/>
        </is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>
        <f>IF(E287="","",IF(OR(ISNUMBER(SEARCH("狼",E287)),ISNUMBER(SEARCH("石像鬼",E287)),ISNUMBER(SEARCH("恶灵骑士",E287)),ISNUMBER(SEARCH("黑蝙蝠",E287)),ISNUMBER(SEARCH("血月使徒",E287))),"werewolves","villagers"))</f>
      </c>
      <c r="M287" s="0">
        <f>IF(F287="","",IF(ROUND(F287,2)=5,"win","loss"))</f>
      </c>
      <c r="N287" s="0" t="inlineStr">
        <is>
          <t xml:space="preserve"/>
        </is>
      </c>
      <c r="O287" s="0" t="inlineStr">
        <is>
          <t xml:space="preserve"/>
        </is>
      </c>
      <c r="P287" s="0" t="inlineStr">
        <is>
          <t xml:space="preserve"/>
        </is>
      </c>
      <c r="Q287" s="0" t="inlineStr">
        <is>
          <t xml:space="preserve"/>
        </is>
      </c>
      <c r="R287" s="0">
        <f>IF(D287="","",IFERROR(LOOKUP(2,1/(($D$2:$D$1001=D287)*($M$2:$M$1001="win")),$L$2:$L$1001),""))</f>
      </c>
      <c r="S287" s="0" t="inlineStr">
        <is>
          <t xml:space="preserve"/>
        </is>
      </c>
      <c r="T287" s="0" t="inlineStr">
        <is>
          <t xml:space="preserve"/>
        </is>
      </c>
      <c r="U287" s="0" t="inlineStr">
        <is>
          <t xml:space="preserve"/>
        </is>
      </c>
      <c r="V287" s="0" t="inlineStr">
        <is>
          <t xml:space="preserve"/>
        </is>
      </c>
      <c r="W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>
        <f>IF(E288="","",IF(OR(ISNUMBER(SEARCH("狼",E288)),ISNUMBER(SEARCH("石像鬼",E288)),ISNUMBER(SEARCH("恶灵骑士",E288)),ISNUMBER(SEARCH("黑蝙蝠",E288)),ISNUMBER(SEARCH("血月使徒",E288))),"werewolves","villagers"))</f>
      </c>
      <c r="M288" s="0">
        <f>IF(F288="","",IF(ROUND(F288,2)=5,"win","loss"))</f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>
        <f>IF(D288="","",IFERROR(LOOKUP(2,1/(($D$2:$D$1001=D288)*($M$2:$M$1001="win")),$L$2:$L$1001),""))</f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>
        <f>IF(E289="","",IF(OR(ISNUMBER(SEARCH("狼",E289)),ISNUMBER(SEARCH("石像鬼",E289)),ISNUMBER(SEARCH("恶灵骑士",E289)),ISNUMBER(SEARCH("黑蝙蝠",E289)),ISNUMBER(SEARCH("血月使徒",E289))),"werewolves","villagers"))</f>
      </c>
      <c r="M289" s="0">
        <f>IF(F289="","",IF(ROUND(F289,2)=5,"win","loss"))</f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>
        <f>IF(D289="","",IFERROR(LOOKUP(2,1/(($D$2:$D$1001=D289)*($M$2:$M$1001="win")),$L$2:$L$1001),""))</f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>
        <f>IF(E290="","",IF(OR(ISNUMBER(SEARCH("狼",E290)),ISNUMBER(SEARCH("石像鬼",E290)),ISNUMBER(SEARCH("恶灵骑士",E290)),ISNUMBER(SEARCH("黑蝙蝠",E290)),ISNUMBER(SEARCH("血月使徒",E290))),"werewolves","villagers"))</f>
      </c>
      <c r="M290" s="0">
        <f>IF(F290="","",IF(ROUND(F290,2)=5,"win","loss"))</f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>
        <f>IF(D290="","",IFERROR(LOOKUP(2,1/(($D$2:$D$1001=D290)*($M$2:$M$1001="win")),$L$2:$L$1001),""))</f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>
        <f>IF(E291="","",IF(OR(ISNUMBER(SEARCH("狼",E291)),ISNUMBER(SEARCH("石像鬼",E291)),ISNUMBER(SEARCH("恶灵骑士",E291)),ISNUMBER(SEARCH("黑蝙蝠",E291)),ISNUMBER(SEARCH("血月使徒",E291))),"werewolves","villagers"))</f>
      </c>
      <c r="M291" s="0">
        <f>IF(F291="","",IF(ROUND(F291,2)=5,"win","loss"))</f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>
        <f>IF(D291="","",IFERROR(LOOKUP(2,1/(($D$2:$D$1001=D291)*($M$2:$M$1001="win")),$L$2:$L$1001),""))</f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>
        <f>IF(E292="","",IF(OR(ISNUMBER(SEARCH("狼",E292)),ISNUMBER(SEARCH("石像鬼",E292)),ISNUMBER(SEARCH("恶灵骑士",E292)),ISNUMBER(SEARCH("黑蝙蝠",E292)),ISNUMBER(SEARCH("血月使徒",E292))),"werewolves","villagers"))</f>
      </c>
      <c r="M292" s="0">
        <f>IF(F292="","",IF(ROUND(F292,2)=5,"win","loss"))</f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>
        <f>IF(D292="","",IFERROR(LOOKUP(2,1/(($D$2:$D$1001=D292)*($M$2:$M$1001="win")),$L$2:$L$1001),""))</f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>
        <f>IF(E293="","",IF(OR(ISNUMBER(SEARCH("狼",E293)),ISNUMBER(SEARCH("石像鬼",E293)),ISNUMBER(SEARCH("恶灵骑士",E293)),ISNUMBER(SEARCH("黑蝙蝠",E293)),ISNUMBER(SEARCH("血月使徒",E293))),"werewolves","villagers"))</f>
      </c>
      <c r="M293" s="0">
        <f>IF(F293="","",IF(ROUND(F293,2)=5,"win","loss"))</f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>
        <f>IF(D293="","",IFERROR(LOOKUP(2,1/(($D$2:$D$1001=D293)*($M$2:$M$1001="win")),$L$2:$L$1001),""))</f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 t="inlineStr">
        <is>
          <t xml:space="preserve"/>
        </is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>
        <f>IF(E294="","",IF(OR(ISNUMBER(SEARCH("狼",E294)),ISNUMBER(SEARCH("石像鬼",E294)),ISNUMBER(SEARCH("恶灵骑士",E294)),ISNUMBER(SEARCH("黑蝙蝠",E294)),ISNUMBER(SEARCH("血月使徒",E294))),"werewolves","villagers"))</f>
      </c>
      <c r="M294" s="0">
        <f>IF(F294="","",IF(ROUND(F294,2)=5,"win","loss"))</f>
      </c>
      <c r="N294" s="0" t="inlineStr">
        <is>
          <t xml:space="preserve"/>
        </is>
      </c>
      <c r="O294" s="0" t="inlineStr">
        <is>
          <t xml:space="preserve"/>
        </is>
      </c>
      <c r="P294" s="0" t="inlineStr">
        <is>
          <t xml:space="preserve"/>
        </is>
      </c>
      <c r="Q294" s="0" t="inlineStr">
        <is>
          <t xml:space="preserve"/>
        </is>
      </c>
      <c r="R294" s="0">
        <f>IF(D294="","",IFERROR(LOOKUP(2,1/(($D$2:$D$1001=D294)*($M$2:$M$1001="win")),$L$2:$L$1001),""))</f>
      </c>
      <c r="S294" s="0" t="inlineStr">
        <is>
          <t xml:space="preserve"/>
        </is>
      </c>
      <c r="T294" s="0" t="inlineStr">
        <is>
          <t xml:space="preserve"/>
        </is>
      </c>
      <c r="U294" s="0" t="inlineStr">
        <is>
          <t xml:space="preserve"/>
        </is>
      </c>
      <c r="V294" s="0" t="inlineStr">
        <is>
          <t xml:space="preserve"/>
        </is>
      </c>
      <c r="W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>
        <f>IF(E295="","",IF(OR(ISNUMBER(SEARCH("狼",E295)),ISNUMBER(SEARCH("石像鬼",E295)),ISNUMBER(SEARCH("恶灵骑士",E295)),ISNUMBER(SEARCH("黑蝙蝠",E295)),ISNUMBER(SEARCH("血月使徒",E295))),"werewolves","villagers"))</f>
      </c>
      <c r="M295" s="0">
        <f>IF(F295="","",IF(ROUND(F295,2)=5,"win","loss"))</f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>
        <f>IF(D295="","",IFERROR(LOOKUP(2,1/(($D$2:$D$1001=D295)*($M$2:$M$1001="win")),$L$2:$L$1001),""))</f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>
        <f>IF(E296="","",IF(OR(ISNUMBER(SEARCH("狼",E296)),ISNUMBER(SEARCH("石像鬼",E296)),ISNUMBER(SEARCH("恶灵骑士",E296)),ISNUMBER(SEARCH("黑蝙蝠",E296)),ISNUMBER(SEARCH("血月使徒",E296))),"werewolves","villagers"))</f>
      </c>
      <c r="M296" s="0">
        <f>IF(F296="","",IF(ROUND(F296,2)=5,"win","loss"))</f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>
        <f>IF(D296="","",IFERROR(LOOKUP(2,1/(($D$2:$D$1001=D296)*($M$2:$M$1001="win")),$L$2:$L$1001),""))</f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>
        <f>IF(E297="","",IF(OR(ISNUMBER(SEARCH("狼",E297)),ISNUMBER(SEARCH("石像鬼",E297)),ISNUMBER(SEARCH("恶灵骑士",E297)),ISNUMBER(SEARCH("黑蝙蝠",E297)),ISNUMBER(SEARCH("血月使徒",E297))),"werewolves","villagers"))</f>
      </c>
      <c r="M297" s="0">
        <f>IF(F297="","",IF(ROUND(F297,2)=5,"win","loss"))</f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>
        <f>IF(D297="","",IFERROR(LOOKUP(2,1/(($D$2:$D$1001=D297)*($M$2:$M$1001="win")),$L$2:$L$1001),""))</f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>
        <f>IF(E298="","",IF(OR(ISNUMBER(SEARCH("狼",E298)),ISNUMBER(SEARCH("石像鬼",E298)),ISNUMBER(SEARCH("恶灵骑士",E298)),ISNUMBER(SEARCH("黑蝙蝠",E298)),ISNUMBER(SEARCH("血月使徒",E298))),"werewolves","villagers"))</f>
      </c>
      <c r="M298" s="0">
        <f>IF(F298="","",IF(ROUND(F298,2)=5,"win","loss"))</f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>
        <f>IF(D298="","",IFERROR(LOOKUP(2,1/(($D$2:$D$1001=D298)*($M$2:$M$1001="win")),$L$2:$L$1001),""))</f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>
        <f>IF(E299="","",IF(OR(ISNUMBER(SEARCH("狼",E299)),ISNUMBER(SEARCH("石像鬼",E299)),ISNUMBER(SEARCH("恶灵骑士",E299)),ISNUMBER(SEARCH("黑蝙蝠",E299)),ISNUMBER(SEARCH("血月使徒",E299))),"werewolves","villagers"))</f>
      </c>
      <c r="M299" s="0">
        <f>IF(F299="","",IF(ROUND(F299,2)=5,"win","loss"))</f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>
        <f>IF(D299="","",IFERROR(LOOKUP(2,1/(($D$2:$D$1001=D299)*($M$2:$M$1001="win")),$L$2:$L$1001),""))</f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>
        <f>IF(E300="","",IF(OR(ISNUMBER(SEARCH("狼",E300)),ISNUMBER(SEARCH("石像鬼",E300)),ISNUMBER(SEARCH("恶灵骑士",E300)),ISNUMBER(SEARCH("黑蝙蝠",E300)),ISNUMBER(SEARCH("血月使徒",E300))),"werewolves","villagers"))</f>
      </c>
      <c r="M300" s="0">
        <f>IF(F300="","",IF(ROUND(F300,2)=5,"win","loss"))</f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>
        <f>IF(D300="","",IFERROR(LOOKUP(2,1/(($D$2:$D$1001=D300)*($M$2:$M$1001="win")),$L$2:$L$1001),""))</f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>
        <f>IF(E301="","",IF(OR(ISNUMBER(SEARCH("狼",E301)),ISNUMBER(SEARCH("石像鬼",E301)),ISNUMBER(SEARCH("恶灵骑士",E301)),ISNUMBER(SEARCH("黑蝙蝠",E301)),ISNUMBER(SEARCH("血月使徒",E301))),"werewolves","villagers"))</f>
      </c>
      <c r="M301" s="0">
        <f>IF(F301="","",IF(ROUND(F301,2)=5,"win","loss"))</f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>
        <f>IF(D301="","",IFERROR(LOOKUP(2,1/(($D$2:$D$1001=D301)*($M$2:$M$1001="win")),$L$2:$L$1001),""))</f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 t="inlineStr">
        <is>
          <t xml:space="preserve"/>
        </is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>
        <f>IF(E302="","",IF(OR(ISNUMBER(SEARCH("狼",E302)),ISNUMBER(SEARCH("石像鬼",E302)),ISNUMBER(SEARCH("恶灵骑士",E302)),ISNUMBER(SEARCH("黑蝙蝠",E302)),ISNUMBER(SEARCH("血月使徒",E302))),"werewolves","villagers"))</f>
      </c>
      <c r="M302" s="0">
        <f>IF(F302="","",IF(ROUND(F302,2)=5,"win","loss"))</f>
      </c>
      <c r="N302" s="0" t="inlineStr">
        <is>
          <t xml:space="preserve"/>
        </is>
      </c>
      <c r="O302" s="0" t="inlineStr">
        <is>
          <t xml:space="preserve"/>
        </is>
      </c>
      <c r="P302" s="0" t="inlineStr">
        <is>
          <t xml:space="preserve"/>
        </is>
      </c>
      <c r="Q302" s="0" t="inlineStr">
        <is>
          <t xml:space="preserve"/>
        </is>
      </c>
      <c r="R302" s="0">
        <f>IF(D302="","",IFERROR(LOOKUP(2,1/(($D$2:$D$1001=D302)*($M$2:$M$1001="win")),$L$2:$L$1001),""))</f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>
        <f>IF(E303="","",IF(OR(ISNUMBER(SEARCH("狼",E303)),ISNUMBER(SEARCH("石像鬼",E303)),ISNUMBER(SEARCH("恶灵骑士",E303)),ISNUMBER(SEARCH("黑蝙蝠",E303)),ISNUMBER(SEARCH("血月使徒",E303))),"werewolves","villagers"))</f>
      </c>
      <c r="M303" s="0">
        <f>IF(F303="","",IF(ROUND(F303,2)=5,"win","loss"))</f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>
        <f>IF(D303="","",IFERROR(LOOKUP(2,1/(($D$2:$D$1001=D303)*($M$2:$M$1001="win")),$L$2:$L$1001),""))</f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>
        <f>IF(E304="","",IF(OR(ISNUMBER(SEARCH("狼",E304)),ISNUMBER(SEARCH("石像鬼",E304)),ISNUMBER(SEARCH("恶灵骑士",E304)),ISNUMBER(SEARCH("黑蝙蝠",E304)),ISNUMBER(SEARCH("血月使徒",E304))),"werewolves","villagers"))</f>
      </c>
      <c r="M304" s="0">
        <f>IF(F304="","",IF(ROUND(F304,2)=5,"win","loss"))</f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>
        <f>IF(D304="","",IFERROR(LOOKUP(2,1/(($D$2:$D$1001=D304)*($M$2:$M$1001="win")),$L$2:$L$1001),""))</f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>
        <f>IF(E305="","",IF(OR(ISNUMBER(SEARCH("狼",E305)),ISNUMBER(SEARCH("石像鬼",E305)),ISNUMBER(SEARCH("恶灵骑士",E305)),ISNUMBER(SEARCH("黑蝙蝠",E305)),ISNUMBER(SEARCH("血月使徒",E305))),"werewolves","villagers"))</f>
      </c>
      <c r="M305" s="0">
        <f>IF(F305="","",IF(ROUND(F305,2)=5,"win","loss"))</f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>
        <f>IF(D305="","",IFERROR(LOOKUP(2,1/(($D$2:$D$1001=D305)*($M$2:$M$1001="win")),$L$2:$L$1001),""))</f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>
        <f>IF(E306="","",IF(OR(ISNUMBER(SEARCH("狼",E306)),ISNUMBER(SEARCH("石像鬼",E306)),ISNUMBER(SEARCH("恶灵骑士",E306)),ISNUMBER(SEARCH("黑蝙蝠",E306)),ISNUMBER(SEARCH("血月使徒",E306))),"werewolves","villagers"))</f>
      </c>
      <c r="M306" s="0">
        <f>IF(F306="","",IF(ROUND(F306,2)=5,"win","loss"))</f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>
        <f>IF(D306="","",IFERROR(LOOKUP(2,1/(($D$2:$D$1001=D306)*($M$2:$M$1001="win")),$L$2:$L$1001),""))</f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 t="inlineStr">
        <is>
          <t xml:space="preserve"/>
        </is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>
        <f>IF(E307="","",IF(OR(ISNUMBER(SEARCH("狼",E307)),ISNUMBER(SEARCH("石像鬼",E307)),ISNUMBER(SEARCH("恶灵骑士",E307)),ISNUMBER(SEARCH("黑蝙蝠",E307)),ISNUMBER(SEARCH("血月使徒",E307))),"werewolves","villagers"))</f>
      </c>
      <c r="M307" s="0">
        <f>IF(F307="","",IF(ROUND(F307,2)=5,"win","loss"))</f>
      </c>
      <c r="N307" s="0" t="inlineStr">
        <is>
          <t xml:space="preserve"/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/>
        </is>
      </c>
      <c r="R307" s="0">
        <f>IF(D307="","",IFERROR(LOOKUP(2,1/(($D$2:$D$1001=D307)*($M$2:$M$1001="win")),$L$2:$L$1001),""))</f>
      </c>
      <c r="S307" s="0" t="inlineStr">
        <is>
          <t xml:space="preserve"/>
        </is>
      </c>
      <c r="T307" s="0" t="inlineStr">
        <is>
          <t xml:space="preserve"/>
        </is>
      </c>
      <c r="U307" s="0" t="inlineStr">
        <is>
          <t xml:space="preserve"/>
        </is>
      </c>
      <c r="V307" s="0" t="inlineStr">
        <is>
          <t xml:space="preserve"/>
        </is>
      </c>
      <c r="W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>
        <f>IF(E308="","",IF(OR(ISNUMBER(SEARCH("狼",E308)),ISNUMBER(SEARCH("石像鬼",E308)),ISNUMBER(SEARCH("恶灵骑士",E308)),ISNUMBER(SEARCH("黑蝙蝠",E308)),ISNUMBER(SEARCH("血月使徒",E308))),"werewolves","villagers"))</f>
      </c>
      <c r="M308" s="0">
        <f>IF(F308="","",IF(ROUND(F308,2)=5,"win","loss"))</f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>
        <f>IF(D308="","",IFERROR(LOOKUP(2,1/(($D$2:$D$1001=D308)*($M$2:$M$1001="win")),$L$2:$L$1001),""))</f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 t="inlineStr">
        <is>
          <t xml:space="preserve"/>
        </is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>
        <f>IF(E309="","",IF(OR(ISNUMBER(SEARCH("狼",E309)),ISNUMBER(SEARCH("石像鬼",E309)),ISNUMBER(SEARCH("恶灵骑士",E309)),ISNUMBER(SEARCH("黑蝙蝠",E309)),ISNUMBER(SEARCH("血月使徒",E309))),"werewolves","villagers"))</f>
      </c>
      <c r="M309" s="0">
        <f>IF(F309="","",IF(ROUND(F309,2)=5,"win","loss"))</f>
      </c>
      <c r="N309" s="0" t="inlineStr">
        <is>
          <t xml:space="preserve"/>
        </is>
      </c>
      <c r="O309" s="0" t="inlineStr">
        <is>
          <t xml:space="preserve"/>
        </is>
      </c>
      <c r="P309" s="0" t="inlineStr">
        <is>
          <t xml:space="preserve"/>
        </is>
      </c>
      <c r="Q309" s="0" t="inlineStr">
        <is>
          <t xml:space="preserve"/>
        </is>
      </c>
      <c r="R309" s="0">
        <f>IF(D309="","",IFERROR(LOOKUP(2,1/(($D$2:$D$1001=D309)*($M$2:$M$1001="win")),$L$2:$L$1001),""))</f>
      </c>
      <c r="S309" s="0" t="inlineStr">
        <is>
          <t xml:space="preserve"/>
        </is>
      </c>
      <c r="T309" s="0" t="inlineStr">
        <is>
          <t xml:space="preserve"/>
        </is>
      </c>
      <c r="U309" s="0" t="inlineStr">
        <is>
          <t xml:space="preserve"/>
        </is>
      </c>
      <c r="V309" s="0" t="inlineStr">
        <is>
          <t xml:space="preserve"/>
        </is>
      </c>
      <c r="W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 t="inlineStr">
        <is>
          <t xml:space="preserve"/>
        </is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>
        <f>IF(E310="","",IF(OR(ISNUMBER(SEARCH("狼",E310)),ISNUMBER(SEARCH("石像鬼",E310)),ISNUMBER(SEARCH("恶灵骑士",E310)),ISNUMBER(SEARCH("黑蝙蝠",E310)),ISNUMBER(SEARCH("血月使徒",E310))),"werewolves","villagers"))</f>
      </c>
      <c r="M310" s="0">
        <f>IF(F310="","",IF(ROUND(F310,2)=5,"win","loss"))</f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>
        <f>IF(D310="","",IFERROR(LOOKUP(2,1/(($D$2:$D$1001=D310)*($M$2:$M$1001="win")),$L$2:$L$1001),""))</f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>
        <f>IF(E311="","",IF(OR(ISNUMBER(SEARCH("狼",E311)),ISNUMBER(SEARCH("石像鬼",E311)),ISNUMBER(SEARCH("恶灵骑士",E311)),ISNUMBER(SEARCH("黑蝙蝠",E311)),ISNUMBER(SEARCH("血月使徒",E311))),"werewolves","villagers"))</f>
      </c>
      <c r="M311" s="0">
        <f>IF(F311="","",IF(ROUND(F311,2)=5,"win","loss"))</f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>
        <f>IF(D311="","",IFERROR(LOOKUP(2,1/(($D$2:$D$1001=D311)*($M$2:$M$1001="win")),$L$2:$L$1001),""))</f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>
        <f>IF(E312="","",IF(OR(ISNUMBER(SEARCH("狼",E312)),ISNUMBER(SEARCH("石像鬼",E312)),ISNUMBER(SEARCH("恶灵骑士",E312)),ISNUMBER(SEARCH("黑蝙蝠",E312)),ISNUMBER(SEARCH("血月使徒",E312))),"werewolves","villagers"))</f>
      </c>
      <c r="M312" s="0">
        <f>IF(F312="","",IF(ROUND(F312,2)=5,"win","loss"))</f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>
        <f>IF(D312="","",IFERROR(LOOKUP(2,1/(($D$2:$D$1001=D312)*($M$2:$M$1001="win")),$L$2:$L$1001),""))</f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 t="inlineStr">
        <is>
          <t xml:space="preserve"/>
        </is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>
        <f>IF(E313="","",IF(OR(ISNUMBER(SEARCH("狼",E313)),ISNUMBER(SEARCH("石像鬼",E313)),ISNUMBER(SEARCH("恶灵骑士",E313)),ISNUMBER(SEARCH("黑蝙蝠",E313)),ISNUMBER(SEARCH("血月使徒",E313))),"werewolves","villagers"))</f>
      </c>
      <c r="M313" s="0">
        <f>IF(F313="","",IF(ROUND(F313,2)=5,"win","loss"))</f>
      </c>
      <c r="N313" s="0" t="inlineStr">
        <is>
          <t xml:space="preserve"/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/>
        </is>
      </c>
      <c r="R313" s="0">
        <f>IF(D313="","",IFERROR(LOOKUP(2,1/(($D$2:$D$1001=D313)*($M$2:$M$1001="win")),$L$2:$L$1001),""))</f>
      </c>
      <c r="S313" s="0" t="inlineStr">
        <is>
          <t xml:space="preserve"/>
        </is>
      </c>
      <c r="T313" s="0" t="inlineStr">
        <is>
          <t xml:space="preserve"/>
        </is>
      </c>
      <c r="U313" s="0" t="inlineStr">
        <is>
          <t xml:space="preserve"/>
        </is>
      </c>
      <c r="V313" s="0" t="inlineStr">
        <is>
          <t xml:space="preserve"/>
        </is>
      </c>
      <c r="W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 t="inlineStr">
        <is>
          <t xml:space="preserve"/>
        </is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>
        <f>IF(E314="","",IF(OR(ISNUMBER(SEARCH("狼",E314)),ISNUMBER(SEARCH("石像鬼",E314)),ISNUMBER(SEARCH("恶灵骑士",E314)),ISNUMBER(SEARCH("黑蝙蝠",E314)),ISNUMBER(SEARCH("血月使徒",E314))),"werewolves","villagers"))</f>
      </c>
      <c r="M314" s="0">
        <f>IF(F314="","",IF(ROUND(F314,2)=5,"win","loss"))</f>
      </c>
      <c r="N314" s="0" t="inlineStr">
        <is>
          <t xml:space="preserve"/>
        </is>
      </c>
      <c r="O314" s="0" t="inlineStr">
        <is>
          <t xml:space="preserve"/>
        </is>
      </c>
      <c r="P314" s="0" t="inlineStr">
        <is>
          <t xml:space="preserve"/>
        </is>
      </c>
      <c r="Q314" s="0" t="inlineStr">
        <is>
          <t xml:space="preserve"/>
        </is>
      </c>
      <c r="R314" s="0">
        <f>IF(D314="","",IFERROR(LOOKUP(2,1/(($D$2:$D$1001=D314)*($M$2:$M$1001="win")),$L$2:$L$1001),""))</f>
      </c>
      <c r="S314" s="0" t="inlineStr">
        <is>
          <t xml:space="preserve"/>
        </is>
      </c>
      <c r="T314" s="0" t="inlineStr">
        <is>
          <t xml:space="preserve"/>
        </is>
      </c>
      <c r="U314" s="0" t="inlineStr">
        <is>
          <t xml:space="preserve"/>
        </is>
      </c>
      <c r="V314" s="0" t="inlineStr">
        <is>
          <t xml:space="preserve"/>
        </is>
      </c>
      <c r="W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>
        <f>IF(E315="","",IF(OR(ISNUMBER(SEARCH("狼",E315)),ISNUMBER(SEARCH("石像鬼",E315)),ISNUMBER(SEARCH("恶灵骑士",E315)),ISNUMBER(SEARCH("黑蝙蝠",E315)),ISNUMBER(SEARCH("血月使徒",E315))),"werewolves","villagers"))</f>
      </c>
      <c r="M315" s="0">
        <f>IF(F315="","",IF(ROUND(F315,2)=5,"win","loss"))</f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>
        <f>IF(D315="","",IFERROR(LOOKUP(2,1/(($D$2:$D$1001=D315)*($M$2:$M$1001="win")),$L$2:$L$1001),""))</f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>
        <f>IF(E316="","",IF(OR(ISNUMBER(SEARCH("狼",E316)),ISNUMBER(SEARCH("石像鬼",E316)),ISNUMBER(SEARCH("恶灵骑士",E316)),ISNUMBER(SEARCH("黑蝙蝠",E316)),ISNUMBER(SEARCH("血月使徒",E316))),"werewolves","villagers"))</f>
      </c>
      <c r="M316" s="0">
        <f>IF(F316="","",IF(ROUND(F316,2)=5,"win","loss"))</f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>
        <f>IF(D316="","",IFERROR(LOOKUP(2,1/(($D$2:$D$1001=D316)*($M$2:$M$1001="win")),$L$2:$L$1001),""))</f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 t="inlineStr">
        <is>
          <t xml:space="preserve"/>
        </is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>
        <f>IF(E317="","",IF(OR(ISNUMBER(SEARCH("狼",E317)),ISNUMBER(SEARCH("石像鬼",E317)),ISNUMBER(SEARCH("恶灵骑士",E317)),ISNUMBER(SEARCH("黑蝙蝠",E317)),ISNUMBER(SEARCH("血月使徒",E317))),"werewolves","villagers"))</f>
      </c>
      <c r="M317" s="0">
        <f>IF(F317="","",IF(ROUND(F317,2)=5,"win","loss"))</f>
      </c>
      <c r="N317" s="0" t="inlineStr">
        <is>
          <t xml:space="preserve"/>
        </is>
      </c>
      <c r="O317" s="0" t="inlineStr">
        <is>
          <t xml:space="preserve"/>
        </is>
      </c>
      <c r="P317" s="0" t="inlineStr">
        <is>
          <t xml:space="preserve"/>
        </is>
      </c>
      <c r="Q317" s="0" t="inlineStr">
        <is>
          <t xml:space="preserve"/>
        </is>
      </c>
      <c r="R317" s="0">
        <f>IF(D317="","",IFERROR(LOOKUP(2,1/(($D$2:$D$1001=D317)*($M$2:$M$1001="win")),$L$2:$L$1001),""))</f>
      </c>
      <c r="S317" s="0" t="inlineStr">
        <is>
          <t xml:space="preserve"/>
        </is>
      </c>
      <c r="T317" s="0" t="inlineStr">
        <is>
          <t xml:space="preserve"/>
        </is>
      </c>
      <c r="U317" s="0" t="inlineStr">
        <is>
          <t xml:space="preserve"/>
        </is>
      </c>
      <c r="V317" s="0" t="inlineStr">
        <is>
          <t xml:space="preserve"/>
        </is>
      </c>
      <c r="W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 t="inlineStr">
        <is>
          <t xml:space="preserve"/>
        </is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>
        <f>IF(E318="","",IF(OR(ISNUMBER(SEARCH("狼",E318)),ISNUMBER(SEARCH("石像鬼",E318)),ISNUMBER(SEARCH("恶灵骑士",E318)),ISNUMBER(SEARCH("黑蝙蝠",E318)),ISNUMBER(SEARCH("血月使徒",E318))),"werewolves","villagers"))</f>
      </c>
      <c r="M318" s="0">
        <f>IF(F318="","",IF(ROUND(F318,2)=5,"win","loss"))</f>
      </c>
      <c r="N318" s="0" t="inlineStr">
        <is>
          <t xml:space="preserve"/>
        </is>
      </c>
      <c r="O318" s="0" t="inlineStr">
        <is>
          <t xml:space="preserve"/>
        </is>
      </c>
      <c r="P318" s="0" t="inlineStr">
        <is>
          <t xml:space="preserve"/>
        </is>
      </c>
      <c r="Q318" s="0" t="inlineStr">
        <is>
          <t xml:space="preserve"/>
        </is>
      </c>
      <c r="R318" s="0">
        <f>IF(D318="","",IFERROR(LOOKUP(2,1/(($D$2:$D$1001=D318)*($M$2:$M$1001="win")),$L$2:$L$1001),""))</f>
      </c>
      <c r="S318" s="0" t="inlineStr">
        <is>
          <t xml:space="preserve"/>
        </is>
      </c>
      <c r="T318" s="0" t="inlineStr">
        <is>
          <t xml:space="preserve"/>
        </is>
      </c>
      <c r="U318" s="0" t="inlineStr">
        <is>
          <t xml:space="preserve"/>
        </is>
      </c>
      <c r="V318" s="0" t="inlineStr">
        <is>
          <t xml:space="preserve"/>
        </is>
      </c>
      <c r="W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>
        <f>IF(E319="","",IF(OR(ISNUMBER(SEARCH("狼",E319)),ISNUMBER(SEARCH("石像鬼",E319)),ISNUMBER(SEARCH("恶灵骑士",E319)),ISNUMBER(SEARCH("黑蝙蝠",E319)),ISNUMBER(SEARCH("血月使徒",E319))),"werewolves","villagers"))</f>
      </c>
      <c r="M319" s="0">
        <f>IF(F319="","",IF(ROUND(F319,2)=5,"win","loss"))</f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>
        <f>IF(D319="","",IFERROR(LOOKUP(2,1/(($D$2:$D$1001=D319)*($M$2:$M$1001="win")),$L$2:$L$1001),""))</f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>
        <f>IF(E320="","",IF(OR(ISNUMBER(SEARCH("狼",E320)),ISNUMBER(SEARCH("石像鬼",E320)),ISNUMBER(SEARCH("恶灵骑士",E320)),ISNUMBER(SEARCH("黑蝙蝠",E320)),ISNUMBER(SEARCH("血月使徒",E320))),"werewolves","villagers"))</f>
      </c>
      <c r="M320" s="0">
        <f>IF(F320="","",IF(ROUND(F320,2)=5,"win","loss"))</f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>
        <f>IF(D320="","",IFERROR(LOOKUP(2,1/(($D$2:$D$1001=D320)*($M$2:$M$1001="win")),$L$2:$L$1001),""))</f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 t="inlineStr">
        <is>
          <t xml:space="preserve"/>
        </is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>
        <f>IF(E321="","",IF(OR(ISNUMBER(SEARCH("狼",E321)),ISNUMBER(SEARCH("石像鬼",E321)),ISNUMBER(SEARCH("恶灵骑士",E321)),ISNUMBER(SEARCH("黑蝙蝠",E321)),ISNUMBER(SEARCH("血月使徒",E321))),"werewolves","villagers"))</f>
      </c>
      <c r="M321" s="0">
        <f>IF(F321="","",IF(ROUND(F321,2)=5,"win","loss"))</f>
      </c>
      <c r="N321" s="0" t="inlineStr">
        <is>
          <t xml:space="preserve"/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/>
        </is>
      </c>
      <c r="R321" s="0">
        <f>IF(D321="","",IFERROR(LOOKUP(2,1/(($D$2:$D$1001=D321)*($M$2:$M$1001="win")),$L$2:$L$1001),""))</f>
      </c>
      <c r="S321" s="0" t="inlineStr">
        <is>
          <t xml:space="preserve"/>
        </is>
      </c>
      <c r="T321" s="0" t="inlineStr">
        <is>
          <t xml:space="preserve"/>
        </is>
      </c>
      <c r="U321" s="0" t="inlineStr">
        <is>
          <t xml:space="preserve"/>
        </is>
      </c>
      <c r="V321" s="0" t="inlineStr">
        <is>
          <t xml:space="preserve"/>
        </is>
      </c>
      <c r="W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 t="inlineStr">
        <is>
          <t xml:space="preserve"/>
        </is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>
        <f>IF(E322="","",IF(OR(ISNUMBER(SEARCH("狼",E322)),ISNUMBER(SEARCH("石像鬼",E322)),ISNUMBER(SEARCH("恶灵骑士",E322)),ISNUMBER(SEARCH("黑蝙蝠",E322)),ISNUMBER(SEARCH("血月使徒",E322))),"werewolves","villagers"))</f>
      </c>
      <c r="M322" s="0">
        <f>IF(F322="","",IF(ROUND(F322,2)=5,"win","loss"))</f>
      </c>
      <c r="N322" s="0" t="inlineStr">
        <is>
          <t xml:space="preserve"/>
        </is>
      </c>
      <c r="O322" s="0" t="inlineStr">
        <is>
          <t xml:space="preserve"/>
        </is>
      </c>
      <c r="P322" s="0" t="inlineStr">
        <is>
          <t xml:space="preserve"/>
        </is>
      </c>
      <c r="Q322" s="0" t="inlineStr">
        <is>
          <t xml:space="preserve"/>
        </is>
      </c>
      <c r="R322" s="0">
        <f>IF(D322="","",IFERROR(LOOKUP(2,1/(($D$2:$D$1001=D322)*($M$2:$M$1001="win")),$L$2:$L$1001),""))</f>
      </c>
      <c r="S322" s="0" t="inlineStr">
        <is>
          <t xml:space="preserve"/>
        </is>
      </c>
      <c r="T322" s="0" t="inlineStr">
        <is>
          <t xml:space="preserve"/>
        </is>
      </c>
      <c r="U322" s="0" t="inlineStr">
        <is>
          <t xml:space="preserve"/>
        </is>
      </c>
      <c r="V322" s="0" t="inlineStr">
        <is>
          <t xml:space="preserve"/>
        </is>
      </c>
      <c r="W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 t="inlineStr">
        <is>
          <t xml:space="preserve"/>
        </is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>
        <f>IF(E323="","",IF(OR(ISNUMBER(SEARCH("狼",E323)),ISNUMBER(SEARCH("石像鬼",E323)),ISNUMBER(SEARCH("恶灵骑士",E323)),ISNUMBER(SEARCH("黑蝙蝠",E323)),ISNUMBER(SEARCH("血月使徒",E323))),"werewolves","villagers"))</f>
      </c>
      <c r="M323" s="0">
        <f>IF(F323="","",IF(ROUND(F323,2)=5,"win","loss"))</f>
      </c>
      <c r="N323" s="0" t="inlineStr">
        <is>
          <t xml:space="preserve"/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/>
        </is>
      </c>
      <c r="R323" s="0">
        <f>IF(D323="","",IFERROR(LOOKUP(2,1/(($D$2:$D$1001=D323)*($M$2:$M$1001="win")),$L$2:$L$1001),""))</f>
      </c>
      <c r="S323" s="0" t="inlineStr">
        <is>
          <t xml:space="preserve"/>
        </is>
      </c>
      <c r="T323" s="0" t="inlineStr">
        <is>
          <t xml:space="preserve"/>
        </is>
      </c>
      <c r="U323" s="0" t="inlineStr">
        <is>
          <t xml:space="preserve"/>
        </is>
      </c>
      <c r="V323" s="0" t="inlineStr">
        <is>
          <t xml:space="preserve"/>
        </is>
      </c>
      <c r="W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>
        <f>IF(E324="","",IF(OR(ISNUMBER(SEARCH("狼",E324)),ISNUMBER(SEARCH("石像鬼",E324)),ISNUMBER(SEARCH("恶灵骑士",E324)),ISNUMBER(SEARCH("黑蝙蝠",E324)),ISNUMBER(SEARCH("血月使徒",E324))),"werewolves","villagers"))</f>
      </c>
      <c r="M324" s="0">
        <f>IF(F324="","",IF(ROUND(F324,2)=5,"win","loss"))</f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>
        <f>IF(D324="","",IFERROR(LOOKUP(2,1/(($D$2:$D$1001=D324)*($M$2:$M$1001="win")),$L$2:$L$1001),""))</f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 t="inlineStr">
        <is>
          <t xml:space="preserve"/>
        </is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>
        <f>IF(E325="","",IF(OR(ISNUMBER(SEARCH("狼",E325)),ISNUMBER(SEARCH("石像鬼",E325)),ISNUMBER(SEARCH("恶灵骑士",E325)),ISNUMBER(SEARCH("黑蝙蝠",E325)),ISNUMBER(SEARCH("血月使徒",E325))),"werewolves","villagers"))</f>
      </c>
      <c r="M325" s="0">
        <f>IF(F325="","",IF(ROUND(F325,2)=5,"win","loss"))</f>
      </c>
      <c r="N325" s="0" t="inlineStr">
        <is>
          <t xml:space="preserve"/>
        </is>
      </c>
      <c r="O325" s="0" t="inlineStr">
        <is>
          <t xml:space="preserve"/>
        </is>
      </c>
      <c r="P325" s="0" t="inlineStr">
        <is>
          <t xml:space="preserve"/>
        </is>
      </c>
      <c r="Q325" s="0" t="inlineStr">
        <is>
          <t xml:space="preserve"/>
        </is>
      </c>
      <c r="R325" s="0">
        <f>IF(D325="","",IFERROR(LOOKUP(2,1/(($D$2:$D$1001=D325)*($M$2:$M$1001="win")),$L$2:$L$1001),""))</f>
      </c>
      <c r="S325" s="0" t="inlineStr">
        <is>
          <t xml:space="preserve"/>
        </is>
      </c>
      <c r="T325" s="0" t="inlineStr">
        <is>
          <t xml:space="preserve"/>
        </is>
      </c>
      <c r="U325" s="0" t="inlineStr">
        <is>
          <t xml:space="preserve"/>
        </is>
      </c>
      <c r="V325" s="0" t="inlineStr">
        <is>
          <t xml:space="preserve"/>
        </is>
      </c>
      <c r="W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 t="inlineStr">
        <is>
          <t xml:space="preserve"/>
        </is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>
        <f>IF(E326="","",IF(OR(ISNUMBER(SEARCH("狼",E326)),ISNUMBER(SEARCH("石像鬼",E326)),ISNUMBER(SEARCH("恶灵骑士",E326)),ISNUMBER(SEARCH("黑蝙蝠",E326)),ISNUMBER(SEARCH("血月使徒",E326))),"werewolves","villagers"))</f>
      </c>
      <c r="M326" s="0">
        <f>IF(F326="","",IF(ROUND(F326,2)=5,"win","loss"))</f>
      </c>
      <c r="N326" s="0" t="inlineStr">
        <is>
          <t xml:space="preserve"/>
        </is>
      </c>
      <c r="O326" s="0" t="inlineStr">
        <is>
          <t xml:space="preserve"/>
        </is>
      </c>
      <c r="P326" s="0" t="inlineStr">
        <is>
          <t xml:space="preserve"/>
        </is>
      </c>
      <c r="Q326" s="0" t="inlineStr">
        <is>
          <t xml:space="preserve"/>
        </is>
      </c>
      <c r="R326" s="0">
        <f>IF(D326="","",IFERROR(LOOKUP(2,1/(($D$2:$D$1001=D326)*($M$2:$M$1001="win")),$L$2:$L$1001),""))</f>
      </c>
      <c r="S326" s="0" t="inlineStr">
        <is>
          <t xml:space="preserve"/>
        </is>
      </c>
      <c r="T326" s="0" t="inlineStr">
        <is>
          <t xml:space="preserve"/>
        </is>
      </c>
      <c r="U326" s="0" t="inlineStr">
        <is>
          <t xml:space="preserve"/>
        </is>
      </c>
      <c r="V326" s="0" t="inlineStr">
        <is>
          <t xml:space="preserve"/>
        </is>
      </c>
      <c r="W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>
        <f>IF(E327="","",IF(OR(ISNUMBER(SEARCH("狼",E327)),ISNUMBER(SEARCH("石像鬼",E327)),ISNUMBER(SEARCH("恶灵骑士",E327)),ISNUMBER(SEARCH("黑蝙蝠",E327)),ISNUMBER(SEARCH("血月使徒",E327))),"werewolves","villagers"))</f>
      </c>
      <c r="M327" s="0">
        <f>IF(F327="","",IF(ROUND(F327,2)=5,"win","loss"))</f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>
        <f>IF(D327="","",IFERROR(LOOKUP(2,1/(($D$2:$D$1001=D327)*($M$2:$M$1001="win")),$L$2:$L$1001),""))</f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>
        <f>IF(E328="","",IF(OR(ISNUMBER(SEARCH("狼",E328)),ISNUMBER(SEARCH("石像鬼",E328)),ISNUMBER(SEARCH("恶灵骑士",E328)),ISNUMBER(SEARCH("黑蝙蝠",E328)),ISNUMBER(SEARCH("血月使徒",E328))),"werewolves","villagers"))</f>
      </c>
      <c r="M328" s="0">
        <f>IF(F328="","",IF(ROUND(F328,2)=5,"win","loss"))</f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>
        <f>IF(D328="","",IFERROR(LOOKUP(2,1/(($D$2:$D$1001=D328)*($M$2:$M$1001="win")),$L$2:$L$1001),""))</f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 t="inlineStr">
        <is>
          <t xml:space="preserve"/>
        </is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>
        <f>IF(E329="","",IF(OR(ISNUMBER(SEARCH("狼",E329)),ISNUMBER(SEARCH("石像鬼",E329)),ISNUMBER(SEARCH("恶灵骑士",E329)),ISNUMBER(SEARCH("黑蝙蝠",E329)),ISNUMBER(SEARCH("血月使徒",E329))),"werewolves","villagers"))</f>
      </c>
      <c r="M329" s="0">
        <f>IF(F329="","",IF(ROUND(F329,2)=5,"win","loss"))</f>
      </c>
      <c r="N329" s="0" t="inlineStr">
        <is>
          <t xml:space="preserve"/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/>
        </is>
      </c>
      <c r="R329" s="0">
        <f>IF(D329="","",IFERROR(LOOKUP(2,1/(($D$2:$D$1001=D329)*($M$2:$M$1001="win")),$L$2:$L$1001),""))</f>
      </c>
      <c r="S329" s="0" t="inlineStr">
        <is>
          <t xml:space="preserve"/>
        </is>
      </c>
      <c r="T329" s="0" t="inlineStr">
        <is>
          <t xml:space="preserve"/>
        </is>
      </c>
      <c r="U329" s="0" t="inlineStr">
        <is>
          <t xml:space="preserve"/>
        </is>
      </c>
      <c r="V329" s="0" t="inlineStr">
        <is>
          <t xml:space="preserve"/>
        </is>
      </c>
      <c r="W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 t="inlineStr">
        <is>
          <t xml:space="preserve"/>
        </is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>
        <f>IF(E330="","",IF(OR(ISNUMBER(SEARCH("狼",E330)),ISNUMBER(SEARCH("石像鬼",E330)),ISNUMBER(SEARCH("恶灵骑士",E330)),ISNUMBER(SEARCH("黑蝙蝠",E330)),ISNUMBER(SEARCH("血月使徒",E330))),"werewolves","villagers"))</f>
      </c>
      <c r="M330" s="0">
        <f>IF(F330="","",IF(ROUND(F330,2)=5,"win","loss"))</f>
      </c>
      <c r="N330" s="0" t="inlineStr">
        <is>
          <t xml:space="preserve"/>
        </is>
      </c>
      <c r="O330" s="0" t="inlineStr">
        <is>
          <t xml:space="preserve"/>
        </is>
      </c>
      <c r="P330" s="0" t="inlineStr">
        <is>
          <t xml:space="preserve"/>
        </is>
      </c>
      <c r="Q330" s="0" t="inlineStr">
        <is>
          <t xml:space="preserve"/>
        </is>
      </c>
      <c r="R330" s="0">
        <f>IF(D330="","",IFERROR(LOOKUP(2,1/(($D$2:$D$1001=D330)*($M$2:$M$1001="win")),$L$2:$L$1001),""))</f>
      </c>
      <c r="S330" s="0" t="inlineStr">
        <is>
          <t xml:space="preserve"/>
        </is>
      </c>
      <c r="T330" s="0" t="inlineStr">
        <is>
          <t xml:space="preserve"/>
        </is>
      </c>
      <c r="U330" s="0" t="inlineStr">
        <is>
          <t xml:space="preserve"/>
        </is>
      </c>
      <c r="V330" s="0" t="inlineStr">
        <is>
          <t xml:space="preserve"/>
        </is>
      </c>
      <c r="W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 t="inlineStr">
        <is>
          <t xml:space="preserve"/>
        </is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>
        <f>IF(E331="","",IF(OR(ISNUMBER(SEARCH("狼",E331)),ISNUMBER(SEARCH("石像鬼",E331)),ISNUMBER(SEARCH("恶灵骑士",E331)),ISNUMBER(SEARCH("黑蝙蝠",E331)),ISNUMBER(SEARCH("血月使徒",E331))),"werewolves","villagers"))</f>
      </c>
      <c r="M331" s="0">
        <f>IF(F331="","",IF(ROUND(F331,2)=5,"win","loss"))</f>
      </c>
      <c r="N331" s="0" t="inlineStr">
        <is>
          <t xml:space="preserve"/>
        </is>
      </c>
      <c r="O331" s="0" t="inlineStr">
        <is>
          <t xml:space="preserve"/>
        </is>
      </c>
      <c r="P331" s="0" t="inlineStr">
        <is>
          <t xml:space="preserve"/>
        </is>
      </c>
      <c r="Q331" s="0" t="inlineStr">
        <is>
          <t xml:space="preserve"/>
        </is>
      </c>
      <c r="R331" s="0">
        <f>IF(D331="","",IFERROR(LOOKUP(2,1/(($D$2:$D$1001=D331)*($M$2:$M$1001="win")),$L$2:$L$1001),""))</f>
      </c>
      <c r="S331" s="0" t="inlineStr">
        <is>
          <t xml:space="preserve"/>
        </is>
      </c>
      <c r="T331" s="0" t="inlineStr">
        <is>
          <t xml:space="preserve"/>
        </is>
      </c>
      <c r="U331" s="0" t="inlineStr">
        <is>
          <t xml:space="preserve"/>
        </is>
      </c>
      <c r="V331" s="0" t="inlineStr">
        <is>
          <t xml:space="preserve"/>
        </is>
      </c>
      <c r="W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>
        <f>IF(E332="","",IF(OR(ISNUMBER(SEARCH("狼",E332)),ISNUMBER(SEARCH("石像鬼",E332)),ISNUMBER(SEARCH("恶灵骑士",E332)),ISNUMBER(SEARCH("黑蝙蝠",E332)),ISNUMBER(SEARCH("血月使徒",E332))),"werewolves","villagers"))</f>
      </c>
      <c r="M332" s="0">
        <f>IF(F332="","",IF(ROUND(F332,2)=5,"win","loss"))</f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>
        <f>IF(D332="","",IFERROR(LOOKUP(2,1/(($D$2:$D$1001=D332)*($M$2:$M$1001="win")),$L$2:$L$1001),""))</f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>
        <f>IF(E333="","",IF(OR(ISNUMBER(SEARCH("狼",E333)),ISNUMBER(SEARCH("石像鬼",E333)),ISNUMBER(SEARCH("恶灵骑士",E333)),ISNUMBER(SEARCH("黑蝙蝠",E333)),ISNUMBER(SEARCH("血月使徒",E333))),"werewolves","villagers"))</f>
      </c>
      <c r="M333" s="0">
        <f>IF(F333="","",IF(ROUND(F333,2)=5,"win","loss"))</f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>
        <f>IF(D333="","",IFERROR(LOOKUP(2,1/(($D$2:$D$1001=D333)*($M$2:$M$1001="win")),$L$2:$L$1001),""))</f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 t="inlineStr">
        <is>
          <t xml:space="preserve"/>
        </is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>
        <f>IF(E334="","",IF(OR(ISNUMBER(SEARCH("狼",E334)),ISNUMBER(SEARCH("石像鬼",E334)),ISNUMBER(SEARCH("恶灵骑士",E334)),ISNUMBER(SEARCH("黑蝙蝠",E334)),ISNUMBER(SEARCH("血月使徒",E334))),"werewolves","villagers"))</f>
      </c>
      <c r="M334" s="0">
        <f>IF(F334="","",IF(ROUND(F334,2)=5,"win","loss"))</f>
      </c>
      <c r="N334" s="0" t="inlineStr">
        <is>
          <t xml:space="preserve"/>
        </is>
      </c>
      <c r="O334" s="0" t="inlineStr">
        <is>
          <t xml:space="preserve"/>
        </is>
      </c>
      <c r="P334" s="0" t="inlineStr">
        <is>
          <t xml:space="preserve"/>
        </is>
      </c>
      <c r="Q334" s="0" t="inlineStr">
        <is>
          <t xml:space="preserve"/>
        </is>
      </c>
      <c r="R334" s="0">
        <f>IF(D334="","",IFERROR(LOOKUP(2,1/(($D$2:$D$1001=D334)*($M$2:$M$1001="win")),$L$2:$L$1001),""))</f>
      </c>
      <c r="S334" s="0" t="inlineStr">
        <is>
          <t xml:space="preserve"/>
        </is>
      </c>
      <c r="T334" s="0" t="inlineStr">
        <is>
          <t xml:space="preserve"/>
        </is>
      </c>
      <c r="U334" s="0" t="inlineStr">
        <is>
          <t xml:space="preserve"/>
        </is>
      </c>
      <c r="V334" s="0" t="inlineStr">
        <is>
          <t xml:space="preserve"/>
        </is>
      </c>
      <c r="W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 t="inlineStr">
        <is>
          <t xml:space="preserve"/>
        </is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>
        <f>IF(E335="","",IF(OR(ISNUMBER(SEARCH("狼",E335)),ISNUMBER(SEARCH("石像鬼",E335)),ISNUMBER(SEARCH("恶灵骑士",E335)),ISNUMBER(SEARCH("黑蝙蝠",E335)),ISNUMBER(SEARCH("血月使徒",E335))),"werewolves","villagers"))</f>
      </c>
      <c r="M335" s="0">
        <f>IF(F335="","",IF(ROUND(F335,2)=5,"win","loss"))</f>
      </c>
      <c r="N335" s="0" t="inlineStr">
        <is>
          <t xml:space="preserve"/>
        </is>
      </c>
      <c r="O335" s="0" t="inlineStr">
        <is>
          <t xml:space="preserve"/>
        </is>
      </c>
      <c r="P335" s="0" t="inlineStr">
        <is>
          <t xml:space="preserve"/>
        </is>
      </c>
      <c r="Q335" s="0" t="inlineStr">
        <is>
          <t xml:space="preserve"/>
        </is>
      </c>
      <c r="R335" s="0">
        <f>IF(D335="","",IFERROR(LOOKUP(2,1/(($D$2:$D$1001=D335)*($M$2:$M$1001="win")),$L$2:$L$1001),""))</f>
      </c>
      <c r="S335" s="0" t="inlineStr">
        <is>
          <t xml:space="preserve"/>
        </is>
      </c>
      <c r="T335" s="0" t="inlineStr">
        <is>
          <t xml:space="preserve"/>
        </is>
      </c>
      <c r="U335" s="0" t="inlineStr">
        <is>
          <t xml:space="preserve"/>
        </is>
      </c>
      <c r="V335" s="0" t="inlineStr">
        <is>
          <t xml:space="preserve"/>
        </is>
      </c>
      <c r="W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>
        <f>IF(E336="","",IF(OR(ISNUMBER(SEARCH("狼",E336)),ISNUMBER(SEARCH("石像鬼",E336)),ISNUMBER(SEARCH("恶灵骑士",E336)),ISNUMBER(SEARCH("黑蝙蝠",E336)),ISNUMBER(SEARCH("血月使徒",E336))),"werewolves","villagers"))</f>
      </c>
      <c r="M336" s="0">
        <f>IF(F336="","",IF(ROUND(F336,2)=5,"win","loss"))</f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>
        <f>IF(D336="","",IFERROR(LOOKUP(2,1/(($D$2:$D$1001=D336)*($M$2:$M$1001="win")),$L$2:$L$1001),""))</f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 t="inlineStr">
        <is>
          <t xml:space="preserve"/>
        </is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>
        <f>IF(E337="","",IF(OR(ISNUMBER(SEARCH("狼",E337)),ISNUMBER(SEARCH("石像鬼",E337)),ISNUMBER(SEARCH("恶灵骑士",E337)),ISNUMBER(SEARCH("黑蝙蝠",E337)),ISNUMBER(SEARCH("血月使徒",E337))),"werewolves","villagers"))</f>
      </c>
      <c r="M337" s="0">
        <f>IF(F337="","",IF(ROUND(F337,2)=5,"win","loss"))</f>
      </c>
      <c r="N337" s="0" t="inlineStr">
        <is>
          <t xml:space="preserve"/>
        </is>
      </c>
      <c r="O337" s="0" t="inlineStr">
        <is>
          <t xml:space="preserve"/>
        </is>
      </c>
      <c r="P337" s="0" t="inlineStr">
        <is>
          <t xml:space="preserve"/>
        </is>
      </c>
      <c r="Q337" s="0" t="inlineStr">
        <is>
          <t xml:space="preserve"/>
        </is>
      </c>
      <c r="R337" s="0">
        <f>IF(D337="","",IFERROR(LOOKUP(2,1/(($D$2:$D$1001=D337)*($M$2:$M$1001="win")),$L$2:$L$1001),""))</f>
      </c>
      <c r="S337" s="0" t="inlineStr">
        <is>
          <t xml:space="preserve"/>
        </is>
      </c>
      <c r="T337" s="0" t="inlineStr">
        <is>
          <t xml:space="preserve"/>
        </is>
      </c>
      <c r="U337" s="0" t="inlineStr">
        <is>
          <t xml:space="preserve"/>
        </is>
      </c>
      <c r="V337" s="0" t="inlineStr">
        <is>
          <t xml:space="preserve"/>
        </is>
      </c>
      <c r="W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>
        <f>IF(E338="","",IF(OR(ISNUMBER(SEARCH("狼",E338)),ISNUMBER(SEARCH("石像鬼",E338)),ISNUMBER(SEARCH("恶灵骑士",E338)),ISNUMBER(SEARCH("黑蝙蝠",E338)),ISNUMBER(SEARCH("血月使徒",E338))),"werewolves","villagers"))</f>
      </c>
      <c r="M338" s="0">
        <f>IF(F338="","",IF(ROUND(F338,2)=5,"win","loss"))</f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>
        <f>IF(D338="","",IFERROR(LOOKUP(2,1/(($D$2:$D$1001=D338)*($M$2:$M$1001="win")),$L$2:$L$1001),""))</f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>
        <f>IF(E339="","",IF(OR(ISNUMBER(SEARCH("狼",E339)),ISNUMBER(SEARCH("石像鬼",E339)),ISNUMBER(SEARCH("恶灵骑士",E339)),ISNUMBER(SEARCH("黑蝙蝠",E339)),ISNUMBER(SEARCH("血月使徒",E339))),"werewolves","villagers"))</f>
      </c>
      <c r="M339" s="0">
        <f>IF(F339="","",IF(ROUND(F339,2)=5,"win","loss"))</f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>
        <f>IF(D339="","",IFERROR(LOOKUP(2,1/(($D$2:$D$1001=D339)*($M$2:$M$1001="win")),$L$2:$L$1001),""))</f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>
        <f>IF(E340="","",IF(OR(ISNUMBER(SEARCH("狼",E340)),ISNUMBER(SEARCH("石像鬼",E340)),ISNUMBER(SEARCH("恶灵骑士",E340)),ISNUMBER(SEARCH("黑蝙蝠",E340)),ISNUMBER(SEARCH("血月使徒",E340))),"werewolves","villagers"))</f>
      </c>
      <c r="M340" s="0">
        <f>IF(F340="","",IF(ROUND(F340,2)=5,"win","loss"))</f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>
        <f>IF(D340="","",IFERROR(LOOKUP(2,1/(($D$2:$D$1001=D340)*($M$2:$M$1001="win")),$L$2:$L$1001),""))</f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 t="inlineStr">
        <is>
          <t xml:space="preserve"/>
        </is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>
        <f>IF(E341="","",IF(OR(ISNUMBER(SEARCH("狼",E341)),ISNUMBER(SEARCH("石像鬼",E341)),ISNUMBER(SEARCH("恶灵骑士",E341)),ISNUMBER(SEARCH("黑蝙蝠",E341)),ISNUMBER(SEARCH("血月使徒",E341))),"werewolves","villagers"))</f>
      </c>
      <c r="M341" s="0">
        <f>IF(F341="","",IF(ROUND(F341,2)=5,"win","loss"))</f>
      </c>
      <c r="N341" s="0" t="inlineStr">
        <is>
          <t xml:space="preserve"/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/>
        </is>
      </c>
      <c r="R341" s="0">
        <f>IF(D341="","",IFERROR(LOOKUP(2,1/(($D$2:$D$1001=D341)*($M$2:$M$1001="win")),$L$2:$L$1001),""))</f>
      </c>
      <c r="S341" s="0" t="inlineStr">
        <is>
          <t xml:space="preserve"/>
        </is>
      </c>
      <c r="T341" s="0" t="inlineStr">
        <is>
          <t xml:space="preserve"/>
        </is>
      </c>
      <c r="U341" s="0" t="inlineStr">
        <is>
          <t xml:space="preserve"/>
        </is>
      </c>
      <c r="V341" s="0" t="inlineStr">
        <is>
          <t xml:space="preserve"/>
        </is>
      </c>
      <c r="W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 t="inlineStr">
        <is>
          <t xml:space="preserve"/>
        </is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>
        <f>IF(E342="","",IF(OR(ISNUMBER(SEARCH("狼",E342)),ISNUMBER(SEARCH("石像鬼",E342)),ISNUMBER(SEARCH("恶灵骑士",E342)),ISNUMBER(SEARCH("黑蝙蝠",E342)),ISNUMBER(SEARCH("血月使徒",E342))),"werewolves","villagers"))</f>
      </c>
      <c r="M342" s="0">
        <f>IF(F342="","",IF(ROUND(F342,2)=5,"win","loss"))</f>
      </c>
      <c r="N342" s="0" t="inlineStr">
        <is>
          <t xml:space="preserve"/>
        </is>
      </c>
      <c r="O342" s="0" t="inlineStr">
        <is>
          <t xml:space="preserve"/>
        </is>
      </c>
      <c r="P342" s="0" t="inlineStr">
        <is>
          <t xml:space="preserve"/>
        </is>
      </c>
      <c r="Q342" s="0" t="inlineStr">
        <is>
          <t xml:space="preserve"/>
        </is>
      </c>
      <c r="R342" s="0">
        <f>IF(D342="","",IFERROR(LOOKUP(2,1/(($D$2:$D$1001=D342)*($M$2:$M$1001="win")),$L$2:$L$1001),""))</f>
      </c>
      <c r="S342" s="0" t="inlineStr">
        <is>
          <t xml:space="preserve"/>
        </is>
      </c>
      <c r="T342" s="0" t="inlineStr">
        <is>
          <t xml:space="preserve"/>
        </is>
      </c>
      <c r="U342" s="0" t="inlineStr">
        <is>
          <t xml:space="preserve"/>
        </is>
      </c>
      <c r="V342" s="0" t="inlineStr">
        <is>
          <t xml:space="preserve"/>
        </is>
      </c>
      <c r="W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 t="inlineStr">
        <is>
          <t xml:space="preserve"/>
        </is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>
        <f>IF(E343="","",IF(OR(ISNUMBER(SEARCH("狼",E343)),ISNUMBER(SEARCH("石像鬼",E343)),ISNUMBER(SEARCH("恶灵骑士",E343)),ISNUMBER(SEARCH("黑蝙蝠",E343)),ISNUMBER(SEARCH("血月使徒",E343))),"werewolves","villagers"))</f>
      </c>
      <c r="M343" s="0">
        <f>IF(F343="","",IF(ROUND(F343,2)=5,"win","loss"))</f>
      </c>
      <c r="N343" s="0" t="inlineStr">
        <is>
          <t xml:space="preserve"/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/>
        </is>
      </c>
      <c r="R343" s="0">
        <f>IF(D343="","",IFERROR(LOOKUP(2,1/(($D$2:$D$1001=D343)*($M$2:$M$1001="win")),$L$2:$L$1001),""))</f>
      </c>
      <c r="S343" s="0" t="inlineStr">
        <is>
          <t xml:space="preserve"/>
        </is>
      </c>
      <c r="T343" s="0" t="inlineStr">
        <is>
          <t xml:space="preserve"/>
        </is>
      </c>
      <c r="U343" s="0" t="inlineStr">
        <is>
          <t xml:space="preserve"/>
        </is>
      </c>
      <c r="V343" s="0" t="inlineStr">
        <is>
          <t xml:space="preserve"/>
        </is>
      </c>
      <c r="W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>
        <f>IF(E344="","",IF(OR(ISNUMBER(SEARCH("狼",E344)),ISNUMBER(SEARCH("石像鬼",E344)),ISNUMBER(SEARCH("恶灵骑士",E344)),ISNUMBER(SEARCH("黑蝙蝠",E344)),ISNUMBER(SEARCH("血月使徒",E344))),"werewolves","villagers"))</f>
      </c>
      <c r="M344" s="0">
        <f>IF(F344="","",IF(ROUND(F344,2)=5,"win","loss"))</f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>
        <f>IF(D344="","",IFERROR(LOOKUP(2,1/(($D$2:$D$1001=D344)*($M$2:$M$1001="win")),$L$2:$L$1001),""))</f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>
        <f>IF(E345="","",IF(OR(ISNUMBER(SEARCH("狼",E345)),ISNUMBER(SEARCH("石像鬼",E345)),ISNUMBER(SEARCH("恶灵骑士",E345)),ISNUMBER(SEARCH("黑蝙蝠",E345)),ISNUMBER(SEARCH("血月使徒",E345))),"werewolves","villagers"))</f>
      </c>
      <c r="M345" s="0">
        <f>IF(F345="","",IF(ROUND(F345,2)=5,"win","loss"))</f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>
        <f>IF(D345="","",IFERROR(LOOKUP(2,1/(($D$2:$D$1001=D345)*($M$2:$M$1001="win")),$L$2:$L$1001),""))</f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 t="inlineStr">
        <is>
          <t xml:space="preserve"/>
        </is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>
        <f>IF(E346="","",IF(OR(ISNUMBER(SEARCH("狼",E346)),ISNUMBER(SEARCH("石像鬼",E346)),ISNUMBER(SEARCH("恶灵骑士",E346)),ISNUMBER(SEARCH("黑蝙蝠",E346)),ISNUMBER(SEARCH("血月使徒",E346))),"werewolves","villagers"))</f>
      </c>
      <c r="M346" s="0">
        <f>IF(F346="","",IF(ROUND(F346,2)=5,"win","loss"))</f>
      </c>
      <c r="N346" s="0" t="inlineStr">
        <is>
          <t xml:space="preserve"/>
        </is>
      </c>
      <c r="O346" s="0" t="inlineStr">
        <is>
          <t xml:space="preserve"/>
        </is>
      </c>
      <c r="P346" s="0" t="inlineStr">
        <is>
          <t xml:space="preserve"/>
        </is>
      </c>
      <c r="Q346" s="0" t="inlineStr">
        <is>
          <t xml:space="preserve"/>
        </is>
      </c>
      <c r="R346" s="0">
        <f>IF(D346="","",IFERROR(LOOKUP(2,1/(($D$2:$D$1001=D346)*($M$2:$M$1001="win")),$L$2:$L$1001),""))</f>
      </c>
      <c r="S346" s="0" t="inlineStr">
        <is>
          <t xml:space="preserve"/>
        </is>
      </c>
      <c r="T346" s="0" t="inlineStr">
        <is>
          <t xml:space="preserve"/>
        </is>
      </c>
      <c r="U346" s="0" t="inlineStr">
        <is>
          <t xml:space="preserve"/>
        </is>
      </c>
      <c r="V346" s="0" t="inlineStr">
        <is>
          <t xml:space="preserve"/>
        </is>
      </c>
      <c r="W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>
        <f>IF(E347="","",IF(OR(ISNUMBER(SEARCH("狼",E347)),ISNUMBER(SEARCH("石像鬼",E347)),ISNUMBER(SEARCH("恶灵骑士",E347)),ISNUMBER(SEARCH("黑蝙蝠",E347)),ISNUMBER(SEARCH("血月使徒",E347))),"werewolves","villagers"))</f>
      </c>
      <c r="M347" s="0">
        <f>IF(F347="","",IF(ROUND(F347,2)=5,"win","loss"))</f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>
        <f>IF(D347="","",IFERROR(LOOKUP(2,1/(($D$2:$D$1001=D347)*($M$2:$M$1001="win")),$L$2:$L$1001),""))</f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 t="inlineStr">
        <is>
          <t xml:space="preserve"/>
        </is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>
        <f>IF(E348="","",IF(OR(ISNUMBER(SEARCH("狼",E348)),ISNUMBER(SEARCH("石像鬼",E348)),ISNUMBER(SEARCH("恶灵骑士",E348)),ISNUMBER(SEARCH("黑蝙蝠",E348)),ISNUMBER(SEARCH("血月使徒",E348))),"werewolves","villagers"))</f>
      </c>
      <c r="M348" s="0">
        <f>IF(F348="","",IF(ROUND(F348,2)=5,"win","loss"))</f>
      </c>
      <c r="N348" s="0" t="inlineStr">
        <is>
          <t xml:space="preserve"/>
        </is>
      </c>
      <c r="O348" s="0" t="inlineStr">
        <is>
          <t xml:space="preserve"/>
        </is>
      </c>
      <c r="P348" s="0" t="inlineStr">
        <is>
          <t xml:space="preserve"/>
        </is>
      </c>
      <c r="Q348" s="0" t="inlineStr">
        <is>
          <t xml:space="preserve"/>
        </is>
      </c>
      <c r="R348" s="0">
        <f>IF(D348="","",IFERROR(LOOKUP(2,1/(($D$2:$D$1001=D348)*($M$2:$M$1001="win")),$L$2:$L$1001),""))</f>
      </c>
      <c r="S348" s="0" t="inlineStr">
        <is>
          <t xml:space="preserve"/>
        </is>
      </c>
      <c r="T348" s="0" t="inlineStr">
        <is>
          <t xml:space="preserve"/>
        </is>
      </c>
      <c r="U348" s="0" t="inlineStr">
        <is>
          <t xml:space="preserve"/>
        </is>
      </c>
      <c r="V348" s="0" t="inlineStr">
        <is>
          <t xml:space="preserve"/>
        </is>
      </c>
      <c r="W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 t="inlineStr">
        <is>
          <t xml:space="preserve"/>
        </is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>
        <f>IF(E349="","",IF(OR(ISNUMBER(SEARCH("狼",E349)),ISNUMBER(SEARCH("石像鬼",E349)),ISNUMBER(SEARCH("恶灵骑士",E349)),ISNUMBER(SEARCH("黑蝙蝠",E349)),ISNUMBER(SEARCH("血月使徒",E349))),"werewolves","villagers"))</f>
      </c>
      <c r="M349" s="0">
        <f>IF(F349="","",IF(ROUND(F349,2)=5,"win","loss"))</f>
      </c>
      <c r="N349" s="0" t="inlineStr">
        <is>
          <t xml:space="preserve"/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/>
        </is>
      </c>
      <c r="R349" s="0">
        <f>IF(D349="","",IFERROR(LOOKUP(2,1/(($D$2:$D$1001=D349)*($M$2:$M$1001="win")),$L$2:$L$1001),""))</f>
      </c>
      <c r="S349" s="0" t="inlineStr">
        <is>
          <t xml:space="preserve"/>
        </is>
      </c>
      <c r="T349" s="0" t="inlineStr">
        <is>
          <t xml:space="preserve"/>
        </is>
      </c>
      <c r="U349" s="0" t="inlineStr">
        <is>
          <t xml:space="preserve"/>
        </is>
      </c>
      <c r="V349" s="0" t="inlineStr">
        <is>
          <t xml:space="preserve"/>
        </is>
      </c>
      <c r="W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>
        <f>IF(E350="","",IF(OR(ISNUMBER(SEARCH("狼",E350)),ISNUMBER(SEARCH("石像鬼",E350)),ISNUMBER(SEARCH("恶灵骑士",E350)),ISNUMBER(SEARCH("黑蝙蝠",E350)),ISNUMBER(SEARCH("血月使徒",E350))),"werewolves","villagers"))</f>
      </c>
      <c r="M350" s="0">
        <f>IF(F350="","",IF(ROUND(F350,2)=5,"win","loss"))</f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>
        <f>IF(D350="","",IFERROR(LOOKUP(2,1/(($D$2:$D$1001=D350)*($M$2:$M$1001="win")),$L$2:$L$1001),""))</f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 t="inlineStr">
        <is>
          <t xml:space="preserve"/>
        </is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>
        <f>IF(E351="","",IF(OR(ISNUMBER(SEARCH("狼",E351)),ISNUMBER(SEARCH("石像鬼",E351)),ISNUMBER(SEARCH("恶灵骑士",E351)),ISNUMBER(SEARCH("黑蝙蝠",E351)),ISNUMBER(SEARCH("血月使徒",E351))),"werewolves","villagers"))</f>
      </c>
      <c r="M351" s="0">
        <f>IF(F351="","",IF(ROUND(F351,2)=5,"win","loss"))</f>
      </c>
      <c r="N351" s="0" t="inlineStr">
        <is>
          <t xml:space="preserve"/>
        </is>
      </c>
      <c r="O351" s="0" t="inlineStr">
        <is>
          <t xml:space="preserve"/>
        </is>
      </c>
      <c r="P351" s="0" t="inlineStr">
        <is>
          <t xml:space="preserve"/>
        </is>
      </c>
      <c r="Q351" s="0" t="inlineStr">
        <is>
          <t xml:space="preserve"/>
        </is>
      </c>
      <c r="R351" s="0">
        <f>IF(D351="","",IFERROR(LOOKUP(2,1/(($D$2:$D$1001=D351)*($M$2:$M$1001="win")),$L$2:$L$1001),""))</f>
      </c>
      <c r="S351" s="0" t="inlineStr">
        <is>
          <t xml:space="preserve"/>
        </is>
      </c>
      <c r="T351" s="0" t="inlineStr">
        <is>
          <t xml:space="preserve"/>
        </is>
      </c>
      <c r="U351" s="0" t="inlineStr">
        <is>
          <t xml:space="preserve"/>
        </is>
      </c>
      <c r="V351" s="0" t="inlineStr">
        <is>
          <t xml:space="preserve"/>
        </is>
      </c>
      <c r="W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 t="inlineStr">
        <is>
          <t xml:space="preserve"/>
        </is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>
        <f>IF(E352="","",IF(OR(ISNUMBER(SEARCH("狼",E352)),ISNUMBER(SEARCH("石像鬼",E352)),ISNUMBER(SEARCH("恶灵骑士",E352)),ISNUMBER(SEARCH("黑蝙蝠",E352)),ISNUMBER(SEARCH("血月使徒",E352))),"werewolves","villagers"))</f>
      </c>
      <c r="M352" s="0">
        <f>IF(F352="","",IF(ROUND(F352,2)=5,"win","loss"))</f>
      </c>
      <c r="N352" s="0" t="inlineStr">
        <is>
          <t xml:space="preserve"/>
        </is>
      </c>
      <c r="O352" s="0" t="inlineStr">
        <is>
          <t xml:space="preserve"/>
        </is>
      </c>
      <c r="P352" s="0" t="inlineStr">
        <is>
          <t xml:space="preserve"/>
        </is>
      </c>
      <c r="Q352" s="0" t="inlineStr">
        <is>
          <t xml:space="preserve"/>
        </is>
      </c>
      <c r="R352" s="0">
        <f>IF(D352="","",IFERROR(LOOKUP(2,1/(($D$2:$D$1001=D352)*($M$2:$M$1001="win")),$L$2:$L$1001),""))</f>
      </c>
      <c r="S352" s="0" t="inlineStr">
        <is>
          <t xml:space="preserve"/>
        </is>
      </c>
      <c r="T352" s="0" t="inlineStr">
        <is>
          <t xml:space="preserve"/>
        </is>
      </c>
      <c r="U352" s="0" t="inlineStr">
        <is>
          <t xml:space="preserve"/>
        </is>
      </c>
      <c r="V352" s="0" t="inlineStr">
        <is>
          <t xml:space="preserve"/>
        </is>
      </c>
      <c r="W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>
        <f>IF(E353="","",IF(OR(ISNUMBER(SEARCH("狼",E353)),ISNUMBER(SEARCH("石像鬼",E353)),ISNUMBER(SEARCH("恶灵骑士",E353)),ISNUMBER(SEARCH("黑蝙蝠",E353)),ISNUMBER(SEARCH("血月使徒",E353))),"werewolves","villagers"))</f>
      </c>
      <c r="M353" s="0">
        <f>IF(F353="","",IF(ROUND(F353,2)=5,"win","loss"))</f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>
        <f>IF(D353="","",IFERROR(LOOKUP(2,1/(($D$2:$D$1001=D353)*($M$2:$M$1001="win")),$L$2:$L$1001),""))</f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 t="inlineStr">
        <is>
          <t xml:space="preserve"/>
        </is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>
        <f>IF(E354="","",IF(OR(ISNUMBER(SEARCH("狼",E354)),ISNUMBER(SEARCH("石像鬼",E354)),ISNUMBER(SEARCH("恶灵骑士",E354)),ISNUMBER(SEARCH("黑蝙蝠",E354)),ISNUMBER(SEARCH("血月使徒",E354))),"werewolves","villagers"))</f>
      </c>
      <c r="M354" s="0">
        <f>IF(F354="","",IF(ROUND(F354,2)=5,"win","loss"))</f>
      </c>
      <c r="N354" s="0" t="inlineStr">
        <is>
          <t xml:space="preserve"/>
        </is>
      </c>
      <c r="O354" s="0" t="inlineStr">
        <is>
          <t xml:space="preserve"/>
        </is>
      </c>
      <c r="P354" s="0" t="inlineStr">
        <is>
          <t xml:space="preserve"/>
        </is>
      </c>
      <c r="Q354" s="0" t="inlineStr">
        <is>
          <t xml:space="preserve"/>
        </is>
      </c>
      <c r="R354" s="0">
        <f>IF(D354="","",IFERROR(LOOKUP(2,1/(($D$2:$D$1001=D354)*($M$2:$M$1001="win")),$L$2:$L$1001),""))</f>
      </c>
      <c r="S354" s="0" t="inlineStr">
        <is>
          <t xml:space="preserve"/>
        </is>
      </c>
      <c r="T354" s="0" t="inlineStr">
        <is>
          <t xml:space="preserve"/>
        </is>
      </c>
      <c r="U354" s="0" t="inlineStr">
        <is>
          <t xml:space="preserve"/>
        </is>
      </c>
      <c r="V354" s="0" t="inlineStr">
        <is>
          <t xml:space="preserve"/>
        </is>
      </c>
      <c r="W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>
        <f>IF(E355="","",IF(OR(ISNUMBER(SEARCH("狼",E355)),ISNUMBER(SEARCH("石像鬼",E355)),ISNUMBER(SEARCH("恶灵骑士",E355)),ISNUMBER(SEARCH("黑蝙蝠",E355)),ISNUMBER(SEARCH("血月使徒",E355))),"werewolves","villagers"))</f>
      </c>
      <c r="M355" s="0">
        <f>IF(F355="","",IF(ROUND(F355,2)=5,"win","loss"))</f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>
        <f>IF(D355="","",IFERROR(LOOKUP(2,1/(($D$2:$D$1001=D355)*($M$2:$M$1001="win")),$L$2:$L$1001),""))</f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 t="inlineStr">
        <is>
          <t xml:space="preserve"/>
        </is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>
        <f>IF(E356="","",IF(OR(ISNUMBER(SEARCH("狼",E356)),ISNUMBER(SEARCH("石像鬼",E356)),ISNUMBER(SEARCH("恶灵骑士",E356)),ISNUMBER(SEARCH("黑蝙蝠",E356)),ISNUMBER(SEARCH("血月使徒",E356))),"werewolves","villagers"))</f>
      </c>
      <c r="M356" s="0">
        <f>IF(F356="","",IF(ROUND(F356,2)=5,"win","loss"))</f>
      </c>
      <c r="N356" s="0" t="inlineStr">
        <is>
          <t xml:space="preserve"/>
        </is>
      </c>
      <c r="O356" s="0" t="inlineStr">
        <is>
          <t xml:space="preserve"/>
        </is>
      </c>
      <c r="P356" s="0" t="inlineStr">
        <is>
          <t xml:space="preserve"/>
        </is>
      </c>
      <c r="Q356" s="0" t="inlineStr">
        <is>
          <t xml:space="preserve"/>
        </is>
      </c>
      <c r="R356" s="0">
        <f>IF(D356="","",IFERROR(LOOKUP(2,1/(($D$2:$D$1001=D356)*($M$2:$M$1001="win")),$L$2:$L$1001),""))</f>
      </c>
      <c r="S356" s="0" t="inlineStr">
        <is>
          <t xml:space="preserve"/>
        </is>
      </c>
      <c r="T356" s="0" t="inlineStr">
        <is>
          <t xml:space="preserve"/>
        </is>
      </c>
      <c r="U356" s="0" t="inlineStr">
        <is>
          <t xml:space="preserve"/>
        </is>
      </c>
      <c r="V356" s="0" t="inlineStr">
        <is>
          <t xml:space="preserve"/>
        </is>
      </c>
      <c r="W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 t="inlineStr">
        <is>
          <t xml:space="preserve"/>
        </is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>
        <f>IF(E357="","",IF(OR(ISNUMBER(SEARCH("狼",E357)),ISNUMBER(SEARCH("石像鬼",E357)),ISNUMBER(SEARCH("恶灵骑士",E357)),ISNUMBER(SEARCH("黑蝙蝠",E357)),ISNUMBER(SEARCH("血月使徒",E357))),"werewolves","villagers"))</f>
      </c>
      <c r="M357" s="0">
        <f>IF(F357="","",IF(ROUND(F357,2)=5,"win","loss"))</f>
      </c>
      <c r="N357" s="0" t="inlineStr">
        <is>
          <t xml:space="preserve"/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/>
        </is>
      </c>
      <c r="R357" s="0">
        <f>IF(D357="","",IFERROR(LOOKUP(2,1/(($D$2:$D$1001=D357)*($M$2:$M$1001="win")),$L$2:$L$1001),""))</f>
      </c>
      <c r="S357" s="0" t="inlineStr">
        <is>
          <t xml:space="preserve"/>
        </is>
      </c>
      <c r="T357" s="0" t="inlineStr">
        <is>
          <t xml:space="preserve"/>
        </is>
      </c>
      <c r="U357" s="0" t="inlineStr">
        <is>
          <t xml:space="preserve"/>
        </is>
      </c>
      <c r="V357" s="0" t="inlineStr">
        <is>
          <t xml:space="preserve"/>
        </is>
      </c>
      <c r="W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 t="inlineStr">
        <is>
          <t xml:space="preserve"/>
        </is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>
        <f>IF(E358="","",IF(OR(ISNUMBER(SEARCH("狼",E358)),ISNUMBER(SEARCH("石像鬼",E358)),ISNUMBER(SEARCH("恶灵骑士",E358)),ISNUMBER(SEARCH("黑蝙蝠",E358)),ISNUMBER(SEARCH("血月使徒",E358))),"werewolves","villagers"))</f>
      </c>
      <c r="M358" s="0">
        <f>IF(F358="","",IF(ROUND(F358,2)=5,"win","loss"))</f>
      </c>
      <c r="N358" s="0" t="inlineStr">
        <is>
          <t xml:space="preserve"/>
        </is>
      </c>
      <c r="O358" s="0" t="inlineStr">
        <is>
          <t xml:space="preserve"/>
        </is>
      </c>
      <c r="P358" s="0" t="inlineStr">
        <is>
          <t xml:space="preserve"/>
        </is>
      </c>
      <c r="Q358" s="0" t="inlineStr">
        <is>
          <t xml:space="preserve"/>
        </is>
      </c>
      <c r="R358" s="0">
        <f>IF(D358="","",IFERROR(LOOKUP(2,1/(($D$2:$D$1001=D358)*($M$2:$M$1001="win")),$L$2:$L$1001),""))</f>
      </c>
      <c r="S358" s="0" t="inlineStr">
        <is>
          <t xml:space="preserve"/>
        </is>
      </c>
      <c r="T358" s="0" t="inlineStr">
        <is>
          <t xml:space="preserve"/>
        </is>
      </c>
      <c r="U358" s="0" t="inlineStr">
        <is>
          <t xml:space="preserve"/>
        </is>
      </c>
      <c r="V358" s="0" t="inlineStr">
        <is>
          <t xml:space="preserve"/>
        </is>
      </c>
      <c r="W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 t="inlineStr">
        <is>
          <t xml:space="preserve"/>
        </is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>
        <f>IF(E359="","",IF(OR(ISNUMBER(SEARCH("狼",E359)),ISNUMBER(SEARCH("石像鬼",E359)),ISNUMBER(SEARCH("恶灵骑士",E359)),ISNUMBER(SEARCH("黑蝙蝠",E359)),ISNUMBER(SEARCH("血月使徒",E359))),"werewolves","villagers"))</f>
      </c>
      <c r="M359" s="0">
        <f>IF(F359="","",IF(ROUND(F359,2)=5,"win","loss"))</f>
      </c>
      <c r="N359" s="0" t="inlineStr">
        <is>
          <t xml:space="preserve"/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/>
        </is>
      </c>
      <c r="R359" s="0">
        <f>IF(D359="","",IFERROR(LOOKUP(2,1/(($D$2:$D$1001=D359)*($M$2:$M$1001="win")),$L$2:$L$1001),""))</f>
      </c>
      <c r="S359" s="0" t="inlineStr">
        <is>
          <t xml:space="preserve"/>
        </is>
      </c>
      <c r="T359" s="0" t="inlineStr">
        <is>
          <t xml:space="preserve"/>
        </is>
      </c>
      <c r="U359" s="0" t="inlineStr">
        <is>
          <t xml:space="preserve"/>
        </is>
      </c>
      <c r="V359" s="0" t="inlineStr">
        <is>
          <t xml:space="preserve"/>
        </is>
      </c>
      <c r="W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 t="inlineStr">
        <is>
          <t xml:space="preserve"/>
        </is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>
        <f>IF(E360="","",IF(OR(ISNUMBER(SEARCH("狼",E360)),ISNUMBER(SEARCH("石像鬼",E360)),ISNUMBER(SEARCH("恶灵骑士",E360)),ISNUMBER(SEARCH("黑蝙蝠",E360)),ISNUMBER(SEARCH("血月使徒",E360))),"werewolves","villagers"))</f>
      </c>
      <c r="M360" s="0">
        <f>IF(F360="","",IF(ROUND(F360,2)=5,"win","loss"))</f>
      </c>
      <c r="N360" s="0" t="inlineStr">
        <is>
          <t xml:space="preserve"/>
        </is>
      </c>
      <c r="O360" s="0" t="inlineStr">
        <is>
          <t xml:space="preserve"/>
        </is>
      </c>
      <c r="P360" s="0" t="inlineStr">
        <is>
          <t xml:space="preserve"/>
        </is>
      </c>
      <c r="Q360" s="0" t="inlineStr">
        <is>
          <t xml:space="preserve"/>
        </is>
      </c>
      <c r="R360" s="0">
        <f>IF(D360="","",IFERROR(LOOKUP(2,1/(($D$2:$D$1001=D360)*($M$2:$M$1001="win")),$L$2:$L$1001),""))</f>
      </c>
      <c r="S360" s="0" t="inlineStr">
        <is>
          <t xml:space="preserve"/>
        </is>
      </c>
      <c r="T360" s="0" t="inlineStr">
        <is>
          <t xml:space="preserve"/>
        </is>
      </c>
      <c r="U360" s="0" t="inlineStr">
        <is>
          <t xml:space="preserve"/>
        </is>
      </c>
      <c r="V360" s="0" t="inlineStr">
        <is>
          <t xml:space="preserve"/>
        </is>
      </c>
      <c r="W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>
        <f>IF(E361="","",IF(OR(ISNUMBER(SEARCH("狼",E361)),ISNUMBER(SEARCH("石像鬼",E361)),ISNUMBER(SEARCH("恶灵骑士",E361)),ISNUMBER(SEARCH("黑蝙蝠",E361)),ISNUMBER(SEARCH("血月使徒",E361))),"werewolves","villagers"))</f>
      </c>
      <c r="M361" s="0">
        <f>IF(F361="","",IF(ROUND(F361,2)=5,"win","loss"))</f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>
        <f>IF(D361="","",IFERROR(LOOKUP(2,1/(($D$2:$D$1001=D361)*($M$2:$M$1001="win")),$L$2:$L$1001),""))</f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 t="inlineStr">
        <is>
          <t xml:space="preserve"/>
        </is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>
        <f>IF(E362="","",IF(OR(ISNUMBER(SEARCH("狼",E362)),ISNUMBER(SEARCH("石像鬼",E362)),ISNUMBER(SEARCH("恶灵骑士",E362)),ISNUMBER(SEARCH("黑蝙蝠",E362)),ISNUMBER(SEARCH("血月使徒",E362))),"werewolves","villagers"))</f>
      </c>
      <c r="M362" s="0">
        <f>IF(F362="","",IF(ROUND(F362,2)=5,"win","loss"))</f>
      </c>
      <c r="N362" s="0" t="inlineStr">
        <is>
          <t xml:space="preserve"/>
        </is>
      </c>
      <c r="O362" s="0" t="inlineStr">
        <is>
          <t xml:space="preserve"/>
        </is>
      </c>
      <c r="P362" s="0" t="inlineStr">
        <is>
          <t xml:space="preserve"/>
        </is>
      </c>
      <c r="Q362" s="0" t="inlineStr">
        <is>
          <t xml:space="preserve"/>
        </is>
      </c>
      <c r="R362" s="0">
        <f>IF(D362="","",IFERROR(LOOKUP(2,1/(($D$2:$D$1001=D362)*($M$2:$M$1001="win")),$L$2:$L$1001),""))</f>
      </c>
      <c r="S362" s="0" t="inlineStr">
        <is>
          <t xml:space="preserve"/>
        </is>
      </c>
      <c r="T362" s="0" t="inlineStr">
        <is>
          <t xml:space="preserve"/>
        </is>
      </c>
      <c r="U362" s="0" t="inlineStr">
        <is>
          <t xml:space="preserve"/>
        </is>
      </c>
      <c r="V362" s="0" t="inlineStr">
        <is>
          <t xml:space="preserve"/>
        </is>
      </c>
      <c r="W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>
        <f>IF(E363="","",IF(OR(ISNUMBER(SEARCH("狼",E363)),ISNUMBER(SEARCH("石像鬼",E363)),ISNUMBER(SEARCH("恶灵骑士",E363)),ISNUMBER(SEARCH("黑蝙蝠",E363)),ISNUMBER(SEARCH("血月使徒",E363))),"werewolves","villagers"))</f>
      </c>
      <c r="M363" s="0">
        <f>IF(F363="","",IF(ROUND(F363,2)=5,"win","loss"))</f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>
        <f>IF(D363="","",IFERROR(LOOKUP(2,1/(($D$2:$D$1001=D363)*($M$2:$M$1001="win")),$L$2:$L$1001),""))</f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 t="inlineStr">
        <is>
          <t xml:space="preserve"/>
        </is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>
        <f>IF(E364="","",IF(OR(ISNUMBER(SEARCH("狼",E364)),ISNUMBER(SEARCH("石像鬼",E364)),ISNUMBER(SEARCH("恶灵骑士",E364)),ISNUMBER(SEARCH("黑蝙蝠",E364)),ISNUMBER(SEARCH("血月使徒",E364))),"werewolves","villagers"))</f>
      </c>
      <c r="M364" s="0">
        <f>IF(F364="","",IF(ROUND(F364,2)=5,"win","loss"))</f>
      </c>
      <c r="N364" s="0" t="inlineStr">
        <is>
          <t xml:space="preserve"/>
        </is>
      </c>
      <c r="O364" s="0" t="inlineStr">
        <is>
          <t xml:space="preserve"/>
        </is>
      </c>
      <c r="P364" s="0" t="inlineStr">
        <is>
          <t xml:space="preserve"/>
        </is>
      </c>
      <c r="Q364" s="0" t="inlineStr">
        <is>
          <t xml:space="preserve"/>
        </is>
      </c>
      <c r="R364" s="0">
        <f>IF(D364="","",IFERROR(LOOKUP(2,1/(($D$2:$D$1001=D364)*($M$2:$M$1001="win")),$L$2:$L$1001),""))</f>
      </c>
      <c r="S364" s="0" t="inlineStr">
        <is>
          <t xml:space="preserve"/>
        </is>
      </c>
      <c r="T364" s="0" t="inlineStr">
        <is>
          <t xml:space="preserve"/>
        </is>
      </c>
      <c r="U364" s="0" t="inlineStr">
        <is>
          <t xml:space="preserve"/>
        </is>
      </c>
      <c r="V364" s="0" t="inlineStr">
        <is>
          <t xml:space="preserve"/>
        </is>
      </c>
      <c r="W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>
        <f>IF(E365="","",IF(OR(ISNUMBER(SEARCH("狼",E365)),ISNUMBER(SEARCH("石像鬼",E365)),ISNUMBER(SEARCH("恶灵骑士",E365)),ISNUMBER(SEARCH("黑蝙蝠",E365)),ISNUMBER(SEARCH("血月使徒",E365))),"werewolves","villagers"))</f>
      </c>
      <c r="M365" s="0">
        <f>IF(F365="","",IF(ROUND(F365,2)=5,"win","loss"))</f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>
        <f>IF(D365="","",IFERROR(LOOKUP(2,1/(($D$2:$D$1001=D365)*($M$2:$M$1001="win")),$L$2:$L$1001),""))</f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 t="inlineStr">
        <is>
          <t xml:space="preserve"/>
        </is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>
        <f>IF(E366="","",IF(OR(ISNUMBER(SEARCH("狼",E366)),ISNUMBER(SEARCH("石像鬼",E366)),ISNUMBER(SEARCH("恶灵骑士",E366)),ISNUMBER(SEARCH("黑蝙蝠",E366)),ISNUMBER(SEARCH("血月使徒",E366))),"werewolves","villagers"))</f>
      </c>
      <c r="M366" s="0">
        <f>IF(F366="","",IF(ROUND(F366,2)=5,"win","loss"))</f>
      </c>
      <c r="N366" s="0" t="inlineStr">
        <is>
          <t xml:space="preserve"/>
        </is>
      </c>
      <c r="O366" s="0" t="inlineStr">
        <is>
          <t xml:space="preserve"/>
        </is>
      </c>
      <c r="P366" s="0" t="inlineStr">
        <is>
          <t xml:space="preserve"/>
        </is>
      </c>
      <c r="Q366" s="0" t="inlineStr">
        <is>
          <t xml:space="preserve"/>
        </is>
      </c>
      <c r="R366" s="0">
        <f>IF(D366="","",IFERROR(LOOKUP(2,1/(($D$2:$D$1001=D366)*($M$2:$M$1001="win")),$L$2:$L$1001),""))</f>
      </c>
      <c r="S366" s="0" t="inlineStr">
        <is>
          <t xml:space="preserve"/>
        </is>
      </c>
      <c r="T366" s="0" t="inlineStr">
        <is>
          <t xml:space="preserve"/>
        </is>
      </c>
      <c r="U366" s="0" t="inlineStr">
        <is>
          <t xml:space="preserve"/>
        </is>
      </c>
      <c r="V366" s="0" t="inlineStr">
        <is>
          <t xml:space="preserve"/>
        </is>
      </c>
      <c r="W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 t="inlineStr">
        <is>
          <t xml:space="preserve"/>
        </is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>
        <f>IF(E367="","",IF(OR(ISNUMBER(SEARCH("狼",E367)),ISNUMBER(SEARCH("石像鬼",E367)),ISNUMBER(SEARCH("恶灵骑士",E367)),ISNUMBER(SEARCH("黑蝙蝠",E367)),ISNUMBER(SEARCH("血月使徒",E367))),"werewolves","villagers"))</f>
      </c>
      <c r="M367" s="0">
        <f>IF(F367="","",IF(ROUND(F367,2)=5,"win","loss"))</f>
      </c>
      <c r="N367" s="0" t="inlineStr">
        <is>
          <t xml:space="preserve"/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/>
        </is>
      </c>
      <c r="R367" s="0">
        <f>IF(D367="","",IFERROR(LOOKUP(2,1/(($D$2:$D$1001=D367)*($M$2:$M$1001="win")),$L$2:$L$1001),""))</f>
      </c>
      <c r="S367" s="0" t="inlineStr">
        <is>
          <t xml:space="preserve"/>
        </is>
      </c>
      <c r="T367" s="0" t="inlineStr">
        <is>
          <t xml:space="preserve"/>
        </is>
      </c>
      <c r="U367" s="0" t="inlineStr">
        <is>
          <t xml:space="preserve"/>
        </is>
      </c>
      <c r="V367" s="0" t="inlineStr">
        <is>
          <t xml:space="preserve"/>
        </is>
      </c>
      <c r="W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 t="inlineStr">
        <is>
          <t xml:space="preserve"/>
        </is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>
        <f>IF(E368="","",IF(OR(ISNUMBER(SEARCH("狼",E368)),ISNUMBER(SEARCH("石像鬼",E368)),ISNUMBER(SEARCH("恶灵骑士",E368)),ISNUMBER(SEARCH("黑蝙蝠",E368)),ISNUMBER(SEARCH("血月使徒",E368))),"werewolves","villagers"))</f>
      </c>
      <c r="M368" s="0">
        <f>IF(F368="","",IF(ROUND(F368,2)=5,"win","loss"))</f>
      </c>
      <c r="N368" s="0" t="inlineStr">
        <is>
          <t xml:space="preserve"/>
        </is>
      </c>
      <c r="O368" s="0" t="inlineStr">
        <is>
          <t xml:space="preserve"/>
        </is>
      </c>
      <c r="P368" s="0" t="inlineStr">
        <is>
          <t xml:space="preserve"/>
        </is>
      </c>
      <c r="Q368" s="0" t="inlineStr">
        <is>
          <t xml:space="preserve"/>
        </is>
      </c>
      <c r="R368" s="0">
        <f>IF(D368="","",IFERROR(LOOKUP(2,1/(($D$2:$D$1001=D368)*($M$2:$M$1001="win")),$L$2:$L$1001),""))</f>
      </c>
      <c r="S368" s="0" t="inlineStr">
        <is>
          <t xml:space="preserve"/>
        </is>
      </c>
      <c r="T368" s="0" t="inlineStr">
        <is>
          <t xml:space="preserve"/>
        </is>
      </c>
      <c r="U368" s="0" t="inlineStr">
        <is>
          <t xml:space="preserve"/>
        </is>
      </c>
      <c r="V368" s="0" t="inlineStr">
        <is>
          <t xml:space="preserve"/>
        </is>
      </c>
      <c r="W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>
        <f>IF(E369="","",IF(OR(ISNUMBER(SEARCH("狼",E369)),ISNUMBER(SEARCH("石像鬼",E369)),ISNUMBER(SEARCH("恶灵骑士",E369)),ISNUMBER(SEARCH("黑蝙蝠",E369)),ISNUMBER(SEARCH("血月使徒",E369))),"werewolves","villagers"))</f>
      </c>
      <c r="M369" s="0">
        <f>IF(F369="","",IF(ROUND(F369,2)=5,"win","loss"))</f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>
        <f>IF(D369="","",IFERROR(LOOKUP(2,1/(($D$2:$D$1001=D369)*($M$2:$M$1001="win")),$L$2:$L$1001),""))</f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 t="inlineStr">
        <is>
          <t xml:space="preserve"/>
        </is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>
        <f>IF(E370="","",IF(OR(ISNUMBER(SEARCH("狼",E370)),ISNUMBER(SEARCH("石像鬼",E370)),ISNUMBER(SEARCH("恶灵骑士",E370)),ISNUMBER(SEARCH("黑蝙蝠",E370)),ISNUMBER(SEARCH("血月使徒",E370))),"werewolves","villagers"))</f>
      </c>
      <c r="M370" s="0">
        <f>IF(F370="","",IF(ROUND(F370,2)=5,"win","loss"))</f>
      </c>
      <c r="N370" s="0" t="inlineStr">
        <is>
          <t xml:space="preserve"/>
        </is>
      </c>
      <c r="O370" s="0" t="inlineStr">
        <is>
          <t xml:space="preserve"/>
        </is>
      </c>
      <c r="P370" s="0" t="inlineStr">
        <is>
          <t xml:space="preserve"/>
        </is>
      </c>
      <c r="Q370" s="0" t="inlineStr">
        <is>
          <t xml:space="preserve"/>
        </is>
      </c>
      <c r="R370" s="0">
        <f>IF(D370="","",IFERROR(LOOKUP(2,1/(($D$2:$D$1001=D370)*($M$2:$M$1001="win")),$L$2:$L$1001),""))</f>
      </c>
      <c r="S370" s="0" t="inlineStr">
        <is>
          <t xml:space="preserve"/>
        </is>
      </c>
      <c r="T370" s="0" t="inlineStr">
        <is>
          <t xml:space="preserve"/>
        </is>
      </c>
      <c r="U370" s="0" t="inlineStr">
        <is>
          <t xml:space="preserve"/>
        </is>
      </c>
      <c r="V370" s="0" t="inlineStr">
        <is>
          <t xml:space="preserve"/>
        </is>
      </c>
      <c r="W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>
        <f>IF(E371="","",IF(OR(ISNUMBER(SEARCH("狼",E371)),ISNUMBER(SEARCH("石像鬼",E371)),ISNUMBER(SEARCH("恶灵骑士",E371)),ISNUMBER(SEARCH("黑蝙蝠",E371)),ISNUMBER(SEARCH("血月使徒",E371))),"werewolves","villagers"))</f>
      </c>
      <c r="M371" s="0">
        <f>IF(F371="","",IF(ROUND(F371,2)=5,"win","loss"))</f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>
        <f>IF(D371="","",IFERROR(LOOKUP(2,1/(($D$2:$D$1001=D371)*($M$2:$M$1001="win")),$L$2:$L$1001),""))</f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>
        <f>IF(E372="","",IF(OR(ISNUMBER(SEARCH("狼",E372)),ISNUMBER(SEARCH("石像鬼",E372)),ISNUMBER(SEARCH("恶灵骑士",E372)),ISNUMBER(SEARCH("黑蝙蝠",E372)),ISNUMBER(SEARCH("血月使徒",E372))),"werewolves","villagers"))</f>
      </c>
      <c r="M372" s="0">
        <f>IF(F372="","",IF(ROUND(F372,2)=5,"win","loss"))</f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>
        <f>IF(D372="","",IFERROR(LOOKUP(2,1/(($D$2:$D$1001=D372)*($M$2:$M$1001="win")),$L$2:$L$1001),""))</f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>
        <f>IF(E373="","",IF(OR(ISNUMBER(SEARCH("狼",E373)),ISNUMBER(SEARCH("石像鬼",E373)),ISNUMBER(SEARCH("恶灵骑士",E373)),ISNUMBER(SEARCH("黑蝙蝠",E373)),ISNUMBER(SEARCH("血月使徒",E373))),"werewolves","villagers"))</f>
      </c>
      <c r="M373" s="0">
        <f>IF(F373="","",IF(ROUND(F373,2)=5,"win","loss"))</f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>
        <f>IF(D373="","",IFERROR(LOOKUP(2,1/(($D$2:$D$1001=D373)*($M$2:$M$1001="win")),$L$2:$L$1001),""))</f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 t="inlineStr">
        <is>
          <t xml:space="preserve"/>
        </is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>
        <f>IF(E374="","",IF(OR(ISNUMBER(SEARCH("狼",E374)),ISNUMBER(SEARCH("石像鬼",E374)),ISNUMBER(SEARCH("恶灵骑士",E374)),ISNUMBER(SEARCH("黑蝙蝠",E374)),ISNUMBER(SEARCH("血月使徒",E374))),"werewolves","villagers"))</f>
      </c>
      <c r="M374" s="0">
        <f>IF(F374="","",IF(ROUND(F374,2)=5,"win","loss"))</f>
      </c>
      <c r="N374" s="0" t="inlineStr">
        <is>
          <t xml:space="preserve"/>
        </is>
      </c>
      <c r="O374" s="0" t="inlineStr">
        <is>
          <t xml:space="preserve"/>
        </is>
      </c>
      <c r="P374" s="0" t="inlineStr">
        <is>
          <t xml:space="preserve"/>
        </is>
      </c>
      <c r="Q374" s="0" t="inlineStr">
        <is>
          <t xml:space="preserve"/>
        </is>
      </c>
      <c r="R374" s="0">
        <f>IF(D374="","",IFERROR(LOOKUP(2,1/(($D$2:$D$1001=D374)*($M$2:$M$1001="win")),$L$2:$L$1001),""))</f>
      </c>
      <c r="S374" s="0" t="inlineStr">
        <is>
          <t xml:space="preserve"/>
        </is>
      </c>
      <c r="T374" s="0" t="inlineStr">
        <is>
          <t xml:space="preserve"/>
        </is>
      </c>
      <c r="U374" s="0" t="inlineStr">
        <is>
          <t xml:space="preserve"/>
        </is>
      </c>
      <c r="V374" s="0" t="inlineStr">
        <is>
          <t xml:space="preserve"/>
        </is>
      </c>
      <c r="W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>
        <f>IF(E375="","",IF(OR(ISNUMBER(SEARCH("狼",E375)),ISNUMBER(SEARCH("石像鬼",E375)),ISNUMBER(SEARCH("恶灵骑士",E375)),ISNUMBER(SEARCH("黑蝙蝠",E375)),ISNUMBER(SEARCH("血月使徒",E375))),"werewolves","villagers"))</f>
      </c>
      <c r="M375" s="0">
        <f>IF(F375="","",IF(ROUND(F375,2)=5,"win","loss"))</f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>
        <f>IF(D375="","",IFERROR(LOOKUP(2,1/(($D$2:$D$1001=D375)*($M$2:$M$1001="win")),$L$2:$L$1001),""))</f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>
        <f>IF(E376="","",IF(OR(ISNUMBER(SEARCH("狼",E376)),ISNUMBER(SEARCH("石像鬼",E376)),ISNUMBER(SEARCH("恶灵骑士",E376)),ISNUMBER(SEARCH("黑蝙蝠",E376)),ISNUMBER(SEARCH("血月使徒",E376))),"werewolves","villagers"))</f>
      </c>
      <c r="M376" s="0">
        <f>IF(F376="","",IF(ROUND(F376,2)=5,"win","loss"))</f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>
        <f>IF(D376="","",IFERROR(LOOKUP(2,1/(($D$2:$D$1001=D376)*($M$2:$M$1001="win")),$L$2:$L$1001),""))</f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>
        <f>IF(E377="","",IF(OR(ISNUMBER(SEARCH("狼",E377)),ISNUMBER(SEARCH("石像鬼",E377)),ISNUMBER(SEARCH("恶灵骑士",E377)),ISNUMBER(SEARCH("黑蝙蝠",E377)),ISNUMBER(SEARCH("血月使徒",E377))),"werewolves","villagers"))</f>
      </c>
      <c r="M377" s="0">
        <f>IF(F377="","",IF(ROUND(F377,2)=5,"win","loss"))</f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>
        <f>IF(D377="","",IFERROR(LOOKUP(2,1/(($D$2:$D$1001=D377)*($M$2:$M$1001="win")),$L$2:$L$1001),""))</f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 t="inlineStr">
        <is>
          <t xml:space="preserve"/>
        </is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>
        <f>IF(E378="","",IF(OR(ISNUMBER(SEARCH("狼",E378)),ISNUMBER(SEARCH("石像鬼",E378)),ISNUMBER(SEARCH("恶灵骑士",E378)),ISNUMBER(SEARCH("黑蝙蝠",E378)),ISNUMBER(SEARCH("血月使徒",E378))),"werewolves","villagers"))</f>
      </c>
      <c r="M378" s="0">
        <f>IF(F378="","",IF(ROUND(F378,2)=5,"win","loss"))</f>
      </c>
      <c r="N378" s="0" t="inlineStr">
        <is>
          <t xml:space="preserve"/>
        </is>
      </c>
      <c r="O378" s="0" t="inlineStr">
        <is>
          <t xml:space="preserve"/>
        </is>
      </c>
      <c r="P378" s="0" t="inlineStr">
        <is>
          <t xml:space="preserve"/>
        </is>
      </c>
      <c r="Q378" s="0" t="inlineStr">
        <is>
          <t xml:space="preserve"/>
        </is>
      </c>
      <c r="R378" s="0">
        <f>IF(D378="","",IFERROR(LOOKUP(2,1/(($D$2:$D$1001=D378)*($M$2:$M$1001="win")),$L$2:$L$1001),""))</f>
      </c>
      <c r="S378" s="0" t="inlineStr">
        <is>
          <t xml:space="preserve"/>
        </is>
      </c>
      <c r="T378" s="0" t="inlineStr">
        <is>
          <t xml:space="preserve"/>
        </is>
      </c>
      <c r="U378" s="0" t="inlineStr">
        <is>
          <t xml:space="preserve"/>
        </is>
      </c>
      <c r="V378" s="0" t="inlineStr">
        <is>
          <t xml:space="preserve"/>
        </is>
      </c>
      <c r="W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 t="inlineStr">
        <is>
          <t xml:space="preserve"/>
        </is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>
        <f>IF(E379="","",IF(OR(ISNUMBER(SEARCH("狼",E379)),ISNUMBER(SEARCH("石像鬼",E379)),ISNUMBER(SEARCH("恶灵骑士",E379)),ISNUMBER(SEARCH("黑蝙蝠",E379)),ISNUMBER(SEARCH("血月使徒",E379))),"werewolves","villagers"))</f>
      </c>
      <c r="M379" s="0">
        <f>IF(F379="","",IF(ROUND(F379,2)=5,"win","loss"))</f>
      </c>
      <c r="N379" s="0" t="inlineStr">
        <is>
          <t xml:space="preserve"/>
        </is>
      </c>
      <c r="O379" s="0" t="inlineStr">
        <is>
          <t xml:space="preserve"/>
        </is>
      </c>
      <c r="P379" s="0" t="inlineStr">
        <is>
          <t xml:space="preserve"/>
        </is>
      </c>
      <c r="Q379" s="0" t="inlineStr">
        <is>
          <t xml:space="preserve"/>
        </is>
      </c>
      <c r="R379" s="0">
        <f>IF(D379="","",IFERROR(LOOKUP(2,1/(($D$2:$D$1001=D379)*($M$2:$M$1001="win")),$L$2:$L$1001),""))</f>
      </c>
      <c r="S379" s="0" t="inlineStr">
        <is>
          <t xml:space="preserve"/>
        </is>
      </c>
      <c r="T379" s="0" t="inlineStr">
        <is>
          <t xml:space="preserve"/>
        </is>
      </c>
      <c r="U379" s="0" t="inlineStr">
        <is>
          <t xml:space="preserve"/>
        </is>
      </c>
      <c r="V379" s="0" t="inlineStr">
        <is>
          <t xml:space="preserve"/>
        </is>
      </c>
      <c r="W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 t="inlineStr">
        <is>
          <t xml:space="preserve"/>
        </is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>
        <f>IF(E380="","",IF(OR(ISNUMBER(SEARCH("狼",E380)),ISNUMBER(SEARCH("石像鬼",E380)),ISNUMBER(SEARCH("恶灵骑士",E380)),ISNUMBER(SEARCH("黑蝙蝠",E380)),ISNUMBER(SEARCH("血月使徒",E380))),"werewolves","villagers"))</f>
      </c>
      <c r="M380" s="0">
        <f>IF(F380="","",IF(ROUND(F380,2)=5,"win","loss"))</f>
      </c>
      <c r="N380" s="0" t="inlineStr">
        <is>
          <t xml:space="preserve"/>
        </is>
      </c>
      <c r="O380" s="0" t="inlineStr">
        <is>
          <t xml:space="preserve"/>
        </is>
      </c>
      <c r="P380" s="0" t="inlineStr">
        <is>
          <t xml:space="preserve"/>
        </is>
      </c>
      <c r="Q380" s="0" t="inlineStr">
        <is>
          <t xml:space="preserve"/>
        </is>
      </c>
      <c r="R380" s="0">
        <f>IF(D380="","",IFERROR(LOOKUP(2,1/(($D$2:$D$1001=D380)*($M$2:$M$1001="win")),$L$2:$L$1001),""))</f>
      </c>
      <c r="S380" s="0" t="inlineStr">
        <is>
          <t xml:space="preserve"/>
        </is>
      </c>
      <c r="T380" s="0" t="inlineStr">
        <is>
          <t xml:space="preserve"/>
        </is>
      </c>
      <c r="U380" s="0" t="inlineStr">
        <is>
          <t xml:space="preserve"/>
        </is>
      </c>
      <c r="V380" s="0" t="inlineStr">
        <is>
          <t xml:space="preserve"/>
        </is>
      </c>
      <c r="W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 t="inlineStr">
        <is>
          <t xml:space="preserve"/>
        </is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>
        <f>IF(E381="","",IF(OR(ISNUMBER(SEARCH("狼",E381)),ISNUMBER(SEARCH("石像鬼",E381)),ISNUMBER(SEARCH("恶灵骑士",E381)),ISNUMBER(SEARCH("黑蝙蝠",E381)),ISNUMBER(SEARCH("血月使徒",E381))),"werewolves","villagers"))</f>
      </c>
      <c r="M381" s="0">
        <f>IF(F381="","",IF(ROUND(F381,2)=5,"win","loss"))</f>
      </c>
      <c r="N381" s="0" t="inlineStr">
        <is>
          <t xml:space="preserve"/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/>
        </is>
      </c>
      <c r="R381" s="0">
        <f>IF(D381="","",IFERROR(LOOKUP(2,1/(($D$2:$D$1001=D381)*($M$2:$M$1001="win")),$L$2:$L$1001),""))</f>
      </c>
      <c r="S381" s="0" t="inlineStr">
        <is>
          <t xml:space="preserve"/>
        </is>
      </c>
      <c r="T381" s="0" t="inlineStr">
        <is>
          <t xml:space="preserve"/>
        </is>
      </c>
      <c r="U381" s="0" t="inlineStr">
        <is>
          <t xml:space="preserve"/>
        </is>
      </c>
      <c r="V381" s="0" t="inlineStr">
        <is>
          <t xml:space="preserve"/>
        </is>
      </c>
      <c r="W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>
        <f>IF(E382="","",IF(OR(ISNUMBER(SEARCH("狼",E382)),ISNUMBER(SEARCH("石像鬼",E382)),ISNUMBER(SEARCH("恶灵骑士",E382)),ISNUMBER(SEARCH("黑蝙蝠",E382)),ISNUMBER(SEARCH("血月使徒",E382))),"werewolves","villagers"))</f>
      </c>
      <c r="M382" s="0">
        <f>IF(F382="","",IF(ROUND(F382,2)=5,"win","loss"))</f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>
        <f>IF(D382="","",IFERROR(LOOKUP(2,1/(($D$2:$D$1001=D382)*($M$2:$M$1001="win")),$L$2:$L$1001),""))</f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>
        <f>IF(E383="","",IF(OR(ISNUMBER(SEARCH("狼",E383)),ISNUMBER(SEARCH("石像鬼",E383)),ISNUMBER(SEARCH("恶灵骑士",E383)),ISNUMBER(SEARCH("黑蝙蝠",E383)),ISNUMBER(SEARCH("血月使徒",E383))),"werewolves","villagers"))</f>
      </c>
      <c r="M383" s="0">
        <f>IF(F383="","",IF(ROUND(F383,2)=5,"win","loss"))</f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>
        <f>IF(D383="","",IFERROR(LOOKUP(2,1/(($D$2:$D$1001=D383)*($M$2:$M$1001="win")),$L$2:$L$1001),""))</f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 t="inlineStr">
        <is>
          <t xml:space="preserve"/>
        </is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>
        <f>IF(E384="","",IF(OR(ISNUMBER(SEARCH("狼",E384)),ISNUMBER(SEARCH("石像鬼",E384)),ISNUMBER(SEARCH("恶灵骑士",E384)),ISNUMBER(SEARCH("黑蝙蝠",E384)),ISNUMBER(SEARCH("血月使徒",E384))),"werewolves","villagers"))</f>
      </c>
      <c r="M384" s="0">
        <f>IF(F384="","",IF(ROUND(F384,2)=5,"win","loss"))</f>
      </c>
      <c r="N384" s="0" t="inlineStr">
        <is>
          <t xml:space="preserve"/>
        </is>
      </c>
      <c r="O384" s="0" t="inlineStr">
        <is>
          <t xml:space="preserve"/>
        </is>
      </c>
      <c r="P384" s="0" t="inlineStr">
        <is>
          <t xml:space="preserve"/>
        </is>
      </c>
      <c r="Q384" s="0" t="inlineStr">
        <is>
          <t xml:space="preserve"/>
        </is>
      </c>
      <c r="R384" s="0">
        <f>IF(D384="","",IFERROR(LOOKUP(2,1/(($D$2:$D$1001=D384)*($M$2:$M$1001="win")),$L$2:$L$1001),""))</f>
      </c>
      <c r="S384" s="0" t="inlineStr">
        <is>
          <t xml:space="preserve"/>
        </is>
      </c>
      <c r="T384" s="0" t="inlineStr">
        <is>
          <t xml:space="preserve"/>
        </is>
      </c>
      <c r="U384" s="0" t="inlineStr">
        <is>
          <t xml:space="preserve"/>
        </is>
      </c>
      <c r="V384" s="0" t="inlineStr">
        <is>
          <t xml:space="preserve"/>
        </is>
      </c>
      <c r="W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>
        <f>IF(E385="","",IF(OR(ISNUMBER(SEARCH("狼",E385)),ISNUMBER(SEARCH("石像鬼",E385)),ISNUMBER(SEARCH("恶灵骑士",E385)),ISNUMBER(SEARCH("黑蝙蝠",E385)),ISNUMBER(SEARCH("血月使徒",E385))),"werewolves","villagers"))</f>
      </c>
      <c r="M385" s="0">
        <f>IF(F385="","",IF(ROUND(F385,2)=5,"win","loss"))</f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>
        <f>IF(D385="","",IFERROR(LOOKUP(2,1/(($D$2:$D$1001=D385)*($M$2:$M$1001="win")),$L$2:$L$1001),""))</f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>
        <f>IF(E386="","",IF(OR(ISNUMBER(SEARCH("狼",E386)),ISNUMBER(SEARCH("石像鬼",E386)),ISNUMBER(SEARCH("恶灵骑士",E386)),ISNUMBER(SEARCH("黑蝙蝠",E386)),ISNUMBER(SEARCH("血月使徒",E386))),"werewolves","villagers"))</f>
      </c>
      <c r="M386" s="0">
        <f>IF(F386="","",IF(ROUND(F386,2)=5,"win","loss"))</f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>
        <f>IF(D386="","",IFERROR(LOOKUP(2,1/(($D$2:$D$1001=D386)*($M$2:$M$1001="win")),$L$2:$L$1001),""))</f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 t="inlineStr">
        <is>
          <t xml:space="preserve"/>
        </is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>
        <f>IF(E387="","",IF(OR(ISNUMBER(SEARCH("狼",E387)),ISNUMBER(SEARCH("石像鬼",E387)),ISNUMBER(SEARCH("恶灵骑士",E387)),ISNUMBER(SEARCH("黑蝙蝠",E387)),ISNUMBER(SEARCH("血月使徒",E387))),"werewolves","villagers"))</f>
      </c>
      <c r="M387" s="0">
        <f>IF(F387="","",IF(ROUND(F387,2)=5,"win","loss"))</f>
      </c>
      <c r="N387" s="0" t="inlineStr">
        <is>
          <t xml:space="preserve"/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/>
        </is>
      </c>
      <c r="R387" s="0">
        <f>IF(D387="","",IFERROR(LOOKUP(2,1/(($D$2:$D$1001=D387)*($M$2:$M$1001="win")),$L$2:$L$1001),""))</f>
      </c>
      <c r="S387" s="0" t="inlineStr">
        <is>
          <t xml:space="preserve"/>
        </is>
      </c>
      <c r="T387" s="0" t="inlineStr">
        <is>
          <t xml:space="preserve"/>
        </is>
      </c>
      <c r="U387" s="0" t="inlineStr">
        <is>
          <t xml:space="preserve"/>
        </is>
      </c>
      <c r="V387" s="0" t="inlineStr">
        <is>
          <t xml:space="preserve"/>
        </is>
      </c>
      <c r="W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 t="inlineStr">
        <is>
          <t xml:space="preserve"/>
        </is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>
        <f>IF(E388="","",IF(OR(ISNUMBER(SEARCH("狼",E388)),ISNUMBER(SEARCH("石像鬼",E388)),ISNUMBER(SEARCH("恶灵骑士",E388)),ISNUMBER(SEARCH("黑蝙蝠",E388)),ISNUMBER(SEARCH("血月使徒",E388))),"werewolves","villagers"))</f>
      </c>
      <c r="M388" s="0">
        <f>IF(F388="","",IF(ROUND(F388,2)=5,"win","loss"))</f>
      </c>
      <c r="N388" s="0" t="inlineStr">
        <is>
          <t xml:space="preserve"/>
        </is>
      </c>
      <c r="O388" s="0" t="inlineStr">
        <is>
          <t xml:space="preserve"/>
        </is>
      </c>
      <c r="P388" s="0" t="inlineStr">
        <is>
          <t xml:space="preserve"/>
        </is>
      </c>
      <c r="Q388" s="0" t="inlineStr">
        <is>
          <t xml:space="preserve"/>
        </is>
      </c>
      <c r="R388" s="0">
        <f>IF(D388="","",IFERROR(LOOKUP(2,1/(($D$2:$D$1001=D388)*($M$2:$M$1001="win")),$L$2:$L$1001),""))</f>
      </c>
      <c r="S388" s="0" t="inlineStr">
        <is>
          <t xml:space="preserve"/>
        </is>
      </c>
      <c r="T388" s="0" t="inlineStr">
        <is>
          <t xml:space="preserve"/>
        </is>
      </c>
      <c r="U388" s="0" t="inlineStr">
        <is>
          <t xml:space="preserve"/>
        </is>
      </c>
      <c r="V388" s="0" t="inlineStr">
        <is>
          <t xml:space="preserve"/>
        </is>
      </c>
      <c r="W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>
        <f>IF(E389="","",IF(OR(ISNUMBER(SEARCH("狼",E389)),ISNUMBER(SEARCH("石像鬼",E389)),ISNUMBER(SEARCH("恶灵骑士",E389)),ISNUMBER(SEARCH("黑蝙蝠",E389)),ISNUMBER(SEARCH("血月使徒",E389))),"werewolves","villagers"))</f>
      </c>
      <c r="M389" s="0">
        <f>IF(F389="","",IF(ROUND(F389,2)=5,"win","loss"))</f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>
        <f>IF(D389="","",IFERROR(LOOKUP(2,1/(($D$2:$D$1001=D389)*($M$2:$M$1001="win")),$L$2:$L$1001),""))</f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>
        <f>IF(E390="","",IF(OR(ISNUMBER(SEARCH("狼",E390)),ISNUMBER(SEARCH("石像鬼",E390)),ISNUMBER(SEARCH("恶灵骑士",E390)),ISNUMBER(SEARCH("黑蝙蝠",E390)),ISNUMBER(SEARCH("血月使徒",E390))),"werewolves","villagers"))</f>
      </c>
      <c r="M390" s="0">
        <f>IF(F390="","",IF(ROUND(F390,2)=5,"win","loss"))</f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>
        <f>IF(D390="","",IFERROR(LOOKUP(2,1/(($D$2:$D$1001=D390)*($M$2:$M$1001="win")),$L$2:$L$1001),""))</f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 t="inlineStr">
        <is>
          <t xml:space="preserve"/>
        </is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>
        <f>IF(E391="","",IF(OR(ISNUMBER(SEARCH("狼",E391)),ISNUMBER(SEARCH("石像鬼",E391)),ISNUMBER(SEARCH("恶灵骑士",E391)),ISNUMBER(SEARCH("黑蝙蝠",E391)),ISNUMBER(SEARCH("血月使徒",E391))),"werewolves","villagers"))</f>
      </c>
      <c r="M391" s="0">
        <f>IF(F391="","",IF(ROUND(F391,2)=5,"win","loss"))</f>
      </c>
      <c r="N391" s="0" t="inlineStr">
        <is>
          <t xml:space="preserve"/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/>
        </is>
      </c>
      <c r="R391" s="0">
        <f>IF(D391="","",IFERROR(LOOKUP(2,1/(($D$2:$D$1001=D391)*($M$2:$M$1001="win")),$L$2:$L$1001),""))</f>
      </c>
      <c r="S391" s="0" t="inlineStr">
        <is>
          <t xml:space="preserve"/>
        </is>
      </c>
      <c r="T391" s="0" t="inlineStr">
        <is>
          <t xml:space="preserve"/>
        </is>
      </c>
      <c r="U391" s="0" t="inlineStr">
        <is>
          <t xml:space="preserve"/>
        </is>
      </c>
      <c r="V391" s="0" t="inlineStr">
        <is>
          <t xml:space="preserve"/>
        </is>
      </c>
      <c r="W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 t="inlineStr">
        <is>
          <t xml:space="preserve"/>
        </is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>
        <f>IF(E392="","",IF(OR(ISNUMBER(SEARCH("狼",E392)),ISNUMBER(SEARCH("石像鬼",E392)),ISNUMBER(SEARCH("恶灵骑士",E392)),ISNUMBER(SEARCH("黑蝙蝠",E392)),ISNUMBER(SEARCH("血月使徒",E392))),"werewolves","villagers"))</f>
      </c>
      <c r="M392" s="0">
        <f>IF(F392="","",IF(ROUND(F392,2)=5,"win","loss"))</f>
      </c>
      <c r="N392" s="0" t="inlineStr">
        <is>
          <t xml:space="preserve"/>
        </is>
      </c>
      <c r="O392" s="0" t="inlineStr">
        <is>
          <t xml:space="preserve"/>
        </is>
      </c>
      <c r="P392" s="0" t="inlineStr">
        <is>
          <t xml:space="preserve"/>
        </is>
      </c>
      <c r="Q392" s="0" t="inlineStr">
        <is>
          <t xml:space="preserve"/>
        </is>
      </c>
      <c r="R392" s="0">
        <f>IF(D392="","",IFERROR(LOOKUP(2,1/(($D$2:$D$1001=D392)*($M$2:$M$1001="win")),$L$2:$L$1001),""))</f>
      </c>
      <c r="S392" s="0" t="inlineStr">
        <is>
          <t xml:space="preserve"/>
        </is>
      </c>
      <c r="T392" s="0" t="inlineStr">
        <is>
          <t xml:space="preserve"/>
        </is>
      </c>
      <c r="U392" s="0" t="inlineStr">
        <is>
          <t xml:space="preserve"/>
        </is>
      </c>
      <c r="V392" s="0" t="inlineStr">
        <is>
          <t xml:space="preserve"/>
        </is>
      </c>
      <c r="W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>
        <f>IF(E393="","",IF(OR(ISNUMBER(SEARCH("狼",E393)),ISNUMBER(SEARCH("石像鬼",E393)),ISNUMBER(SEARCH("恶灵骑士",E393)),ISNUMBER(SEARCH("黑蝙蝠",E393)),ISNUMBER(SEARCH("血月使徒",E393))),"werewolves","villagers"))</f>
      </c>
      <c r="M393" s="0">
        <f>IF(F393="","",IF(ROUND(F393,2)=5,"win","loss"))</f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>
        <f>IF(D393="","",IFERROR(LOOKUP(2,1/(($D$2:$D$1001=D393)*($M$2:$M$1001="win")),$L$2:$L$1001),""))</f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>
        <f>IF(E394="","",IF(OR(ISNUMBER(SEARCH("狼",E394)),ISNUMBER(SEARCH("石像鬼",E394)),ISNUMBER(SEARCH("恶灵骑士",E394)),ISNUMBER(SEARCH("黑蝙蝠",E394)),ISNUMBER(SEARCH("血月使徒",E394))),"werewolves","villagers"))</f>
      </c>
      <c r="M394" s="0">
        <f>IF(F394="","",IF(ROUND(F394,2)=5,"win","loss"))</f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>
        <f>IF(D394="","",IFERROR(LOOKUP(2,1/(($D$2:$D$1001=D394)*($M$2:$M$1001="win")),$L$2:$L$1001),""))</f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>
        <f>IF(E395="","",IF(OR(ISNUMBER(SEARCH("狼",E395)),ISNUMBER(SEARCH("石像鬼",E395)),ISNUMBER(SEARCH("恶灵骑士",E395)),ISNUMBER(SEARCH("黑蝙蝠",E395)),ISNUMBER(SEARCH("血月使徒",E395))),"werewolves","villagers"))</f>
      </c>
      <c r="M395" s="0">
        <f>IF(F395="","",IF(ROUND(F395,2)=5,"win","loss"))</f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>
        <f>IF(D395="","",IFERROR(LOOKUP(2,1/(($D$2:$D$1001=D395)*($M$2:$M$1001="win")),$L$2:$L$1001),""))</f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>
        <f>IF(E396="","",IF(OR(ISNUMBER(SEARCH("狼",E396)),ISNUMBER(SEARCH("石像鬼",E396)),ISNUMBER(SEARCH("恶灵骑士",E396)),ISNUMBER(SEARCH("黑蝙蝠",E396)),ISNUMBER(SEARCH("血月使徒",E396))),"werewolves","villagers"))</f>
      </c>
      <c r="M396" s="0">
        <f>IF(F396="","",IF(ROUND(F396,2)=5,"win","loss"))</f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>
        <f>IF(D396="","",IFERROR(LOOKUP(2,1/(($D$2:$D$1001=D396)*($M$2:$M$1001="win")),$L$2:$L$1001),""))</f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>
        <f>IF(E397="","",IF(OR(ISNUMBER(SEARCH("狼",E397)),ISNUMBER(SEARCH("石像鬼",E397)),ISNUMBER(SEARCH("恶灵骑士",E397)),ISNUMBER(SEARCH("黑蝙蝠",E397)),ISNUMBER(SEARCH("血月使徒",E397))),"werewolves","villagers"))</f>
      </c>
      <c r="M397" s="0">
        <f>IF(F397="","",IF(ROUND(F397,2)=5,"win","loss"))</f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>
        <f>IF(D397="","",IFERROR(LOOKUP(2,1/(($D$2:$D$1001=D397)*($M$2:$M$1001="win")),$L$2:$L$1001),""))</f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>
        <f>IF(E398="","",IF(OR(ISNUMBER(SEARCH("狼",E398)),ISNUMBER(SEARCH("石像鬼",E398)),ISNUMBER(SEARCH("恶灵骑士",E398)),ISNUMBER(SEARCH("黑蝙蝠",E398)),ISNUMBER(SEARCH("血月使徒",E398))),"werewolves","villagers"))</f>
      </c>
      <c r="M398" s="0">
        <f>IF(F398="","",IF(ROUND(F398,2)=5,"win","loss"))</f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>
        <f>IF(D398="","",IFERROR(LOOKUP(2,1/(($D$2:$D$1001=D398)*($M$2:$M$1001="win")),$L$2:$L$1001),""))</f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>
        <f>IF(E399="","",IF(OR(ISNUMBER(SEARCH("狼",E399)),ISNUMBER(SEARCH("石像鬼",E399)),ISNUMBER(SEARCH("恶灵骑士",E399)),ISNUMBER(SEARCH("黑蝙蝠",E399)),ISNUMBER(SEARCH("血月使徒",E399))),"werewolves","villagers"))</f>
      </c>
      <c r="M399" s="0">
        <f>IF(F399="","",IF(ROUND(F399,2)=5,"win","loss"))</f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>
        <f>IF(D399="","",IFERROR(LOOKUP(2,1/(($D$2:$D$1001=D399)*($M$2:$M$1001="win")),$L$2:$L$1001),""))</f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>
        <f>IF(E400="","",IF(OR(ISNUMBER(SEARCH("狼",E400)),ISNUMBER(SEARCH("石像鬼",E400)),ISNUMBER(SEARCH("恶灵骑士",E400)),ISNUMBER(SEARCH("黑蝙蝠",E400)),ISNUMBER(SEARCH("血月使徒",E400))),"werewolves","villagers"))</f>
      </c>
      <c r="M400" s="0">
        <f>IF(F400="","",IF(ROUND(F400,2)=5,"win","loss"))</f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>
        <f>IF(D400="","",IFERROR(LOOKUP(2,1/(($D$2:$D$1001=D400)*($M$2:$M$1001="win")),$L$2:$L$1001),""))</f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>
        <f>IF(E401="","",IF(OR(ISNUMBER(SEARCH("狼",E401)),ISNUMBER(SEARCH("石像鬼",E401)),ISNUMBER(SEARCH("恶灵骑士",E401)),ISNUMBER(SEARCH("黑蝙蝠",E401)),ISNUMBER(SEARCH("血月使徒",E401))),"werewolves","villagers"))</f>
      </c>
      <c r="M401" s="0">
        <f>IF(F401="","",IF(ROUND(F401,2)=5,"win","loss"))</f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>
        <f>IF(D401="","",IFERROR(LOOKUP(2,1/(($D$2:$D$1001=D401)*($M$2:$M$1001="win")),$L$2:$L$1001),""))</f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>
        <f>IF(E402="","",IF(OR(ISNUMBER(SEARCH("狼",E402)),ISNUMBER(SEARCH("石像鬼",E402)),ISNUMBER(SEARCH("恶灵骑士",E402)),ISNUMBER(SEARCH("黑蝙蝠",E402)),ISNUMBER(SEARCH("血月使徒",E402))),"werewolves","villagers"))</f>
      </c>
      <c r="M402" s="0">
        <f>IF(F402="","",IF(ROUND(F402,2)=5,"win","loss"))</f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>
        <f>IF(D402="","",IFERROR(LOOKUP(2,1/(($D$2:$D$1001=D402)*($M$2:$M$1001="win")),$L$2:$L$1001),""))</f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>
        <f>IF(E403="","",IF(OR(ISNUMBER(SEARCH("狼",E403)),ISNUMBER(SEARCH("石像鬼",E403)),ISNUMBER(SEARCH("恶灵骑士",E403)),ISNUMBER(SEARCH("黑蝙蝠",E403)),ISNUMBER(SEARCH("血月使徒",E403))),"werewolves","villagers"))</f>
      </c>
      <c r="M403" s="0">
        <f>IF(F403="","",IF(ROUND(F403,2)=5,"win","loss"))</f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>
        <f>IF(D403="","",IFERROR(LOOKUP(2,1/(($D$2:$D$1001=D403)*($M$2:$M$1001="win")),$L$2:$L$1001),""))</f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>
        <f>IF(E404="","",IF(OR(ISNUMBER(SEARCH("狼",E404)),ISNUMBER(SEARCH("石像鬼",E404)),ISNUMBER(SEARCH("恶灵骑士",E404)),ISNUMBER(SEARCH("黑蝙蝠",E404)),ISNUMBER(SEARCH("血月使徒",E404))),"werewolves","villagers"))</f>
      </c>
      <c r="M404" s="0">
        <f>IF(F404="","",IF(ROUND(F404,2)=5,"win","loss"))</f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>
        <f>IF(D404="","",IFERROR(LOOKUP(2,1/(($D$2:$D$1001=D404)*($M$2:$M$1001="win")),$L$2:$L$1001),""))</f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>
        <f>IF(E405="","",IF(OR(ISNUMBER(SEARCH("狼",E405)),ISNUMBER(SEARCH("石像鬼",E405)),ISNUMBER(SEARCH("恶灵骑士",E405)),ISNUMBER(SEARCH("黑蝙蝠",E405)),ISNUMBER(SEARCH("血月使徒",E405))),"werewolves","villagers"))</f>
      </c>
      <c r="M405" s="0">
        <f>IF(F405="","",IF(ROUND(F405,2)=5,"win","loss"))</f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>
        <f>IF(D405="","",IFERROR(LOOKUP(2,1/(($D$2:$D$1001=D405)*($M$2:$M$1001="win")),$L$2:$L$1001),""))</f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>
        <f>IF(E406="","",IF(OR(ISNUMBER(SEARCH("狼",E406)),ISNUMBER(SEARCH("石像鬼",E406)),ISNUMBER(SEARCH("恶灵骑士",E406)),ISNUMBER(SEARCH("黑蝙蝠",E406)),ISNUMBER(SEARCH("血月使徒",E406))),"werewolves","villagers"))</f>
      </c>
      <c r="M406" s="0">
        <f>IF(F406="","",IF(ROUND(F406,2)=5,"win","loss"))</f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>
        <f>IF(D406="","",IFERROR(LOOKUP(2,1/(($D$2:$D$1001=D406)*($M$2:$M$1001="win")),$L$2:$L$1001),""))</f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 t="inlineStr">
        <is>
          <t xml:space="preserve"/>
        </is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>
        <f>IF(E407="","",IF(OR(ISNUMBER(SEARCH("狼",E407)),ISNUMBER(SEARCH("石像鬼",E407)),ISNUMBER(SEARCH("恶灵骑士",E407)),ISNUMBER(SEARCH("黑蝙蝠",E407)),ISNUMBER(SEARCH("血月使徒",E407))),"werewolves","villagers"))</f>
      </c>
      <c r="M407" s="0">
        <f>IF(F407="","",IF(ROUND(F407,2)=5,"win","loss"))</f>
      </c>
      <c r="N407" s="0" t="inlineStr">
        <is>
          <t xml:space="preserve"/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/>
        </is>
      </c>
      <c r="R407" s="0">
        <f>IF(D407="","",IFERROR(LOOKUP(2,1/(($D$2:$D$1001=D407)*($M$2:$M$1001="win")),$L$2:$L$1001),""))</f>
      </c>
      <c r="S407" s="0" t="inlineStr">
        <is>
          <t xml:space="preserve"/>
        </is>
      </c>
      <c r="T407" s="0" t="inlineStr">
        <is>
          <t xml:space="preserve"/>
        </is>
      </c>
      <c r="U407" s="0" t="inlineStr">
        <is>
          <t xml:space="preserve"/>
        </is>
      </c>
      <c r="V407" s="0" t="inlineStr">
        <is>
          <t xml:space="preserve"/>
        </is>
      </c>
      <c r="W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 t="inlineStr">
        <is>
          <t xml:space="preserve"/>
        </is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>
        <f>IF(E408="","",IF(OR(ISNUMBER(SEARCH("狼",E408)),ISNUMBER(SEARCH("石像鬼",E408)),ISNUMBER(SEARCH("恶灵骑士",E408)),ISNUMBER(SEARCH("黑蝙蝠",E408)),ISNUMBER(SEARCH("血月使徒",E408))),"werewolves","villagers"))</f>
      </c>
      <c r="M408" s="0">
        <f>IF(F408="","",IF(ROUND(F408,2)=5,"win","loss"))</f>
      </c>
      <c r="N408" s="0" t="inlineStr">
        <is>
          <t xml:space="preserve"/>
        </is>
      </c>
      <c r="O408" s="0" t="inlineStr">
        <is>
          <t xml:space="preserve"/>
        </is>
      </c>
      <c r="P408" s="0" t="inlineStr">
        <is>
          <t xml:space="preserve"/>
        </is>
      </c>
      <c r="Q408" s="0" t="inlineStr">
        <is>
          <t xml:space="preserve"/>
        </is>
      </c>
      <c r="R408" s="0">
        <f>IF(D408="","",IFERROR(LOOKUP(2,1/(($D$2:$D$1001=D408)*($M$2:$M$1001="win")),$L$2:$L$1001),""))</f>
      </c>
      <c r="S408" s="0" t="inlineStr">
        <is>
          <t xml:space="preserve"/>
        </is>
      </c>
      <c r="T408" s="0" t="inlineStr">
        <is>
          <t xml:space="preserve"/>
        </is>
      </c>
      <c r="U408" s="0" t="inlineStr">
        <is>
          <t xml:space="preserve"/>
        </is>
      </c>
      <c r="V408" s="0" t="inlineStr">
        <is>
          <t xml:space="preserve"/>
        </is>
      </c>
      <c r="W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>
        <f>IF(E409="","",IF(OR(ISNUMBER(SEARCH("狼",E409)),ISNUMBER(SEARCH("石像鬼",E409)),ISNUMBER(SEARCH("恶灵骑士",E409)),ISNUMBER(SEARCH("黑蝙蝠",E409)),ISNUMBER(SEARCH("血月使徒",E409))),"werewolves","villagers"))</f>
      </c>
      <c r="M409" s="0">
        <f>IF(F409="","",IF(ROUND(F409,2)=5,"win","loss"))</f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>
        <f>IF(D409="","",IFERROR(LOOKUP(2,1/(($D$2:$D$1001=D409)*($M$2:$M$1001="win")),$L$2:$L$1001),""))</f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>
        <f>IF(E410="","",IF(OR(ISNUMBER(SEARCH("狼",E410)),ISNUMBER(SEARCH("石像鬼",E410)),ISNUMBER(SEARCH("恶灵骑士",E410)),ISNUMBER(SEARCH("黑蝙蝠",E410)),ISNUMBER(SEARCH("血月使徒",E410))),"werewolves","villagers"))</f>
      </c>
      <c r="M410" s="0">
        <f>IF(F410="","",IF(ROUND(F410,2)=5,"win","loss"))</f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>
        <f>IF(D410="","",IFERROR(LOOKUP(2,1/(($D$2:$D$1001=D410)*($M$2:$M$1001="win")),$L$2:$L$1001),""))</f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>
        <f>IF(E411="","",IF(OR(ISNUMBER(SEARCH("狼",E411)),ISNUMBER(SEARCH("石像鬼",E411)),ISNUMBER(SEARCH("恶灵骑士",E411)),ISNUMBER(SEARCH("黑蝙蝠",E411)),ISNUMBER(SEARCH("血月使徒",E411))),"werewolves","villagers"))</f>
      </c>
      <c r="M411" s="0">
        <f>IF(F411="","",IF(ROUND(F411,2)=5,"win","loss"))</f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>
        <f>IF(D411="","",IFERROR(LOOKUP(2,1/(($D$2:$D$1001=D411)*($M$2:$M$1001="win")),$L$2:$L$1001),""))</f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>
        <f>IF(E412="","",IF(OR(ISNUMBER(SEARCH("狼",E412)),ISNUMBER(SEARCH("石像鬼",E412)),ISNUMBER(SEARCH("恶灵骑士",E412)),ISNUMBER(SEARCH("黑蝙蝠",E412)),ISNUMBER(SEARCH("血月使徒",E412))),"werewolves","villagers"))</f>
      </c>
      <c r="M412" s="0">
        <f>IF(F412="","",IF(ROUND(F412,2)=5,"win","loss"))</f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>
        <f>IF(D412="","",IFERROR(LOOKUP(2,1/(($D$2:$D$1001=D412)*($M$2:$M$1001="win")),$L$2:$L$1001),""))</f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>
        <f>IF(E413="","",IF(OR(ISNUMBER(SEARCH("狼",E413)),ISNUMBER(SEARCH("石像鬼",E413)),ISNUMBER(SEARCH("恶灵骑士",E413)),ISNUMBER(SEARCH("黑蝙蝠",E413)),ISNUMBER(SEARCH("血月使徒",E413))),"werewolves","villagers"))</f>
      </c>
      <c r="M413" s="0">
        <f>IF(F413="","",IF(ROUND(F413,2)=5,"win","loss"))</f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>
        <f>IF(D413="","",IFERROR(LOOKUP(2,1/(($D$2:$D$1001=D413)*($M$2:$M$1001="win")),$L$2:$L$1001),""))</f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 t="inlineStr">
        <is>
          <t xml:space="preserve"/>
        </is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>
        <f>IF(E414="","",IF(OR(ISNUMBER(SEARCH("狼",E414)),ISNUMBER(SEARCH("石像鬼",E414)),ISNUMBER(SEARCH("恶灵骑士",E414)),ISNUMBER(SEARCH("黑蝙蝠",E414)),ISNUMBER(SEARCH("血月使徒",E414))),"werewolves","villagers"))</f>
      </c>
      <c r="M414" s="0">
        <f>IF(F414="","",IF(ROUND(F414,2)=5,"win","loss"))</f>
      </c>
      <c r="N414" s="0" t="inlineStr">
        <is>
          <t xml:space="preserve"/>
        </is>
      </c>
      <c r="O414" s="0" t="inlineStr">
        <is>
          <t xml:space="preserve"/>
        </is>
      </c>
      <c r="P414" s="0" t="inlineStr">
        <is>
          <t xml:space="preserve"/>
        </is>
      </c>
      <c r="Q414" s="0" t="inlineStr">
        <is>
          <t xml:space="preserve"/>
        </is>
      </c>
      <c r="R414" s="0">
        <f>IF(D414="","",IFERROR(LOOKUP(2,1/(($D$2:$D$1001=D414)*($M$2:$M$1001="win")),$L$2:$L$1001),""))</f>
      </c>
      <c r="S414" s="0" t="inlineStr">
        <is>
          <t xml:space="preserve"/>
        </is>
      </c>
      <c r="T414" s="0" t="inlineStr">
        <is>
          <t xml:space="preserve"/>
        </is>
      </c>
      <c r="U414" s="0" t="inlineStr">
        <is>
          <t xml:space="preserve"/>
        </is>
      </c>
      <c r="V414" s="0" t="inlineStr">
        <is>
          <t xml:space="preserve"/>
        </is>
      </c>
      <c r="W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 t="inlineStr">
        <is>
          <t xml:space="preserve"/>
        </is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>
        <f>IF(E415="","",IF(OR(ISNUMBER(SEARCH("狼",E415)),ISNUMBER(SEARCH("石像鬼",E415)),ISNUMBER(SEARCH("恶灵骑士",E415)),ISNUMBER(SEARCH("黑蝙蝠",E415)),ISNUMBER(SEARCH("血月使徒",E415))),"werewolves","villagers"))</f>
      </c>
      <c r="M415" s="0">
        <f>IF(F415="","",IF(ROUND(F415,2)=5,"win","loss"))</f>
      </c>
      <c r="N415" s="0" t="inlineStr">
        <is>
          <t xml:space="preserve"/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/>
        </is>
      </c>
      <c r="R415" s="0">
        <f>IF(D415="","",IFERROR(LOOKUP(2,1/(($D$2:$D$1001=D415)*($M$2:$M$1001="win")),$L$2:$L$1001),""))</f>
      </c>
      <c r="S415" s="0" t="inlineStr">
        <is>
          <t xml:space="preserve"/>
        </is>
      </c>
      <c r="T415" s="0" t="inlineStr">
        <is>
          <t xml:space="preserve"/>
        </is>
      </c>
      <c r="U415" s="0" t="inlineStr">
        <is>
          <t xml:space="preserve"/>
        </is>
      </c>
      <c r="V415" s="0" t="inlineStr">
        <is>
          <t xml:space="preserve"/>
        </is>
      </c>
      <c r="W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>
        <f>IF(E416="","",IF(OR(ISNUMBER(SEARCH("狼",E416)),ISNUMBER(SEARCH("石像鬼",E416)),ISNUMBER(SEARCH("恶灵骑士",E416)),ISNUMBER(SEARCH("黑蝙蝠",E416)),ISNUMBER(SEARCH("血月使徒",E416))),"werewolves","villagers"))</f>
      </c>
      <c r="M416" s="0">
        <f>IF(F416="","",IF(ROUND(F416,2)=5,"win","loss"))</f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>
        <f>IF(D416="","",IFERROR(LOOKUP(2,1/(($D$2:$D$1001=D416)*($M$2:$M$1001="win")),$L$2:$L$1001),""))</f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>
        <f>IF(E417="","",IF(OR(ISNUMBER(SEARCH("狼",E417)),ISNUMBER(SEARCH("石像鬼",E417)),ISNUMBER(SEARCH("恶灵骑士",E417)),ISNUMBER(SEARCH("黑蝙蝠",E417)),ISNUMBER(SEARCH("血月使徒",E417))),"werewolves","villagers"))</f>
      </c>
      <c r="M417" s="0">
        <f>IF(F417="","",IF(ROUND(F417,2)=5,"win","loss"))</f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>
        <f>IF(D417="","",IFERROR(LOOKUP(2,1/(($D$2:$D$1001=D417)*($M$2:$M$1001="win")),$L$2:$L$1001),""))</f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 t="inlineStr">
        <is>
          <t xml:space="preserve"/>
        </is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>
        <f>IF(E418="","",IF(OR(ISNUMBER(SEARCH("狼",E418)),ISNUMBER(SEARCH("石像鬼",E418)),ISNUMBER(SEARCH("恶灵骑士",E418)),ISNUMBER(SEARCH("黑蝙蝠",E418)),ISNUMBER(SEARCH("血月使徒",E418))),"werewolves","villagers"))</f>
      </c>
      <c r="M418" s="0">
        <f>IF(F418="","",IF(ROUND(F418,2)=5,"win","loss"))</f>
      </c>
      <c r="N418" s="0" t="inlineStr">
        <is>
          <t xml:space="preserve"/>
        </is>
      </c>
      <c r="O418" s="0" t="inlineStr">
        <is>
          <t xml:space="preserve"/>
        </is>
      </c>
      <c r="P418" s="0" t="inlineStr">
        <is>
          <t xml:space="preserve"/>
        </is>
      </c>
      <c r="Q418" s="0" t="inlineStr">
        <is>
          <t xml:space="preserve"/>
        </is>
      </c>
      <c r="R418" s="0">
        <f>IF(D418="","",IFERROR(LOOKUP(2,1/(($D$2:$D$1001=D418)*($M$2:$M$1001="win")),$L$2:$L$1001),""))</f>
      </c>
      <c r="S418" s="0" t="inlineStr">
        <is>
          <t xml:space="preserve"/>
        </is>
      </c>
      <c r="T418" s="0" t="inlineStr">
        <is>
          <t xml:space="preserve"/>
        </is>
      </c>
      <c r="U418" s="0" t="inlineStr">
        <is>
          <t xml:space="preserve"/>
        </is>
      </c>
      <c r="V418" s="0" t="inlineStr">
        <is>
          <t xml:space="preserve"/>
        </is>
      </c>
      <c r="W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 t="inlineStr">
        <is>
          <t xml:space="preserve"/>
        </is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>
        <f>IF(E419="","",IF(OR(ISNUMBER(SEARCH("狼",E419)),ISNUMBER(SEARCH("石像鬼",E419)),ISNUMBER(SEARCH("恶灵骑士",E419)),ISNUMBER(SEARCH("黑蝙蝠",E419)),ISNUMBER(SEARCH("血月使徒",E419))),"werewolves","villagers"))</f>
      </c>
      <c r="M419" s="0">
        <f>IF(F419="","",IF(ROUND(F419,2)=5,"win","loss"))</f>
      </c>
      <c r="N419" s="0" t="inlineStr">
        <is>
          <t xml:space="preserve"/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/>
        </is>
      </c>
      <c r="R419" s="0">
        <f>IF(D419="","",IFERROR(LOOKUP(2,1/(($D$2:$D$1001=D419)*($M$2:$M$1001="win")),$L$2:$L$1001),""))</f>
      </c>
      <c r="S419" s="0" t="inlineStr">
        <is>
          <t xml:space="preserve"/>
        </is>
      </c>
      <c r="T419" s="0" t="inlineStr">
        <is>
          <t xml:space="preserve"/>
        </is>
      </c>
      <c r="U419" s="0" t="inlineStr">
        <is>
          <t xml:space="preserve"/>
        </is>
      </c>
      <c r="V419" s="0" t="inlineStr">
        <is>
          <t xml:space="preserve"/>
        </is>
      </c>
      <c r="W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>
        <f>IF(E420="","",IF(OR(ISNUMBER(SEARCH("狼",E420)),ISNUMBER(SEARCH("石像鬼",E420)),ISNUMBER(SEARCH("恶灵骑士",E420)),ISNUMBER(SEARCH("黑蝙蝠",E420)),ISNUMBER(SEARCH("血月使徒",E420))),"werewolves","villagers"))</f>
      </c>
      <c r="M420" s="0">
        <f>IF(F420="","",IF(ROUND(F420,2)=5,"win","loss"))</f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>
        <f>IF(D420="","",IFERROR(LOOKUP(2,1/(($D$2:$D$1001=D420)*($M$2:$M$1001="win")),$L$2:$L$1001),""))</f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>
        <f>IF(E421="","",IF(OR(ISNUMBER(SEARCH("狼",E421)),ISNUMBER(SEARCH("石像鬼",E421)),ISNUMBER(SEARCH("恶灵骑士",E421)),ISNUMBER(SEARCH("黑蝙蝠",E421)),ISNUMBER(SEARCH("血月使徒",E421))),"werewolves","villagers"))</f>
      </c>
      <c r="M421" s="0">
        <f>IF(F421="","",IF(ROUND(F421,2)=5,"win","loss"))</f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>
        <f>IF(D421="","",IFERROR(LOOKUP(2,1/(($D$2:$D$1001=D421)*($M$2:$M$1001="win")),$L$2:$L$1001),""))</f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 t="inlineStr">
        <is>
          <t xml:space="preserve"/>
        </is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>
        <f>IF(E422="","",IF(OR(ISNUMBER(SEARCH("狼",E422)),ISNUMBER(SEARCH("石像鬼",E422)),ISNUMBER(SEARCH("恶灵骑士",E422)),ISNUMBER(SEARCH("黑蝙蝠",E422)),ISNUMBER(SEARCH("血月使徒",E422))),"werewolves","villagers"))</f>
      </c>
      <c r="M422" s="0">
        <f>IF(F422="","",IF(ROUND(F422,2)=5,"win","loss"))</f>
      </c>
      <c r="N422" s="0" t="inlineStr">
        <is>
          <t xml:space="preserve"/>
        </is>
      </c>
      <c r="O422" s="0" t="inlineStr">
        <is>
          <t xml:space="preserve"/>
        </is>
      </c>
      <c r="P422" s="0" t="inlineStr">
        <is>
          <t xml:space="preserve"/>
        </is>
      </c>
      <c r="Q422" s="0" t="inlineStr">
        <is>
          <t xml:space="preserve"/>
        </is>
      </c>
      <c r="R422" s="0">
        <f>IF(D422="","",IFERROR(LOOKUP(2,1/(($D$2:$D$1001=D422)*($M$2:$M$1001="win")),$L$2:$L$1001),""))</f>
      </c>
      <c r="S422" s="0" t="inlineStr">
        <is>
          <t xml:space="preserve"/>
        </is>
      </c>
      <c r="T422" s="0" t="inlineStr">
        <is>
          <t xml:space="preserve"/>
        </is>
      </c>
      <c r="U422" s="0" t="inlineStr">
        <is>
          <t xml:space="preserve"/>
        </is>
      </c>
      <c r="V422" s="0" t="inlineStr">
        <is>
          <t xml:space="preserve"/>
        </is>
      </c>
      <c r="W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>
        <f>IF(E423="","",IF(OR(ISNUMBER(SEARCH("狼",E423)),ISNUMBER(SEARCH("石像鬼",E423)),ISNUMBER(SEARCH("恶灵骑士",E423)),ISNUMBER(SEARCH("黑蝙蝠",E423)),ISNUMBER(SEARCH("血月使徒",E423))),"werewolves","villagers"))</f>
      </c>
      <c r="M423" s="0">
        <f>IF(F423="","",IF(ROUND(F423,2)=5,"win","loss"))</f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>
        <f>IF(D423="","",IFERROR(LOOKUP(2,1/(($D$2:$D$1001=D423)*($M$2:$M$1001="win")),$L$2:$L$1001),""))</f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>
        <f>IF(E424="","",IF(OR(ISNUMBER(SEARCH("狼",E424)),ISNUMBER(SEARCH("石像鬼",E424)),ISNUMBER(SEARCH("恶灵骑士",E424)),ISNUMBER(SEARCH("黑蝙蝠",E424)),ISNUMBER(SEARCH("血月使徒",E424))),"werewolves","villagers"))</f>
      </c>
      <c r="M424" s="0">
        <f>IF(F424="","",IF(ROUND(F424,2)=5,"win","loss"))</f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>
        <f>IF(D424="","",IFERROR(LOOKUP(2,1/(($D$2:$D$1001=D424)*($M$2:$M$1001="win")),$L$2:$L$1001),""))</f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>
        <f>IF(E425="","",IF(OR(ISNUMBER(SEARCH("狼",E425)),ISNUMBER(SEARCH("石像鬼",E425)),ISNUMBER(SEARCH("恶灵骑士",E425)),ISNUMBER(SEARCH("黑蝙蝠",E425)),ISNUMBER(SEARCH("血月使徒",E425))),"werewolves","villagers"))</f>
      </c>
      <c r="M425" s="0">
        <f>IF(F425="","",IF(ROUND(F425,2)=5,"win","loss"))</f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>
        <f>IF(D425="","",IFERROR(LOOKUP(2,1/(($D$2:$D$1001=D425)*($M$2:$M$1001="win")),$L$2:$L$1001),""))</f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 t="inlineStr">
        <is>
          <t xml:space="preserve"/>
        </is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>
        <f>IF(E426="","",IF(OR(ISNUMBER(SEARCH("狼",E426)),ISNUMBER(SEARCH("石像鬼",E426)),ISNUMBER(SEARCH("恶灵骑士",E426)),ISNUMBER(SEARCH("黑蝙蝠",E426)),ISNUMBER(SEARCH("血月使徒",E426))),"werewolves","villagers"))</f>
      </c>
      <c r="M426" s="0">
        <f>IF(F426="","",IF(ROUND(F426,2)=5,"win","loss"))</f>
      </c>
      <c r="N426" s="0" t="inlineStr">
        <is>
          <t xml:space="preserve"/>
        </is>
      </c>
      <c r="O426" s="0" t="inlineStr">
        <is>
          <t xml:space="preserve"/>
        </is>
      </c>
      <c r="P426" s="0" t="inlineStr">
        <is>
          <t xml:space="preserve"/>
        </is>
      </c>
      <c r="Q426" s="0" t="inlineStr">
        <is>
          <t xml:space="preserve"/>
        </is>
      </c>
      <c r="R426" s="0">
        <f>IF(D426="","",IFERROR(LOOKUP(2,1/(($D$2:$D$1001=D426)*($M$2:$M$1001="win")),$L$2:$L$1001),""))</f>
      </c>
      <c r="S426" s="0" t="inlineStr">
        <is>
          <t xml:space="preserve"/>
        </is>
      </c>
      <c r="T426" s="0" t="inlineStr">
        <is>
          <t xml:space="preserve"/>
        </is>
      </c>
      <c r="U426" s="0" t="inlineStr">
        <is>
          <t xml:space="preserve"/>
        </is>
      </c>
      <c r="V426" s="0" t="inlineStr">
        <is>
          <t xml:space="preserve"/>
        </is>
      </c>
      <c r="W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>
        <f>IF(E427="","",IF(OR(ISNUMBER(SEARCH("狼",E427)),ISNUMBER(SEARCH("石像鬼",E427)),ISNUMBER(SEARCH("恶灵骑士",E427)),ISNUMBER(SEARCH("黑蝙蝠",E427)),ISNUMBER(SEARCH("血月使徒",E427))),"werewolves","villagers"))</f>
      </c>
      <c r="M427" s="0">
        <f>IF(F427="","",IF(ROUND(F427,2)=5,"win","loss"))</f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>
        <f>IF(D427="","",IFERROR(LOOKUP(2,1/(($D$2:$D$1001=D427)*($M$2:$M$1001="win")),$L$2:$L$1001),""))</f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>
        <f>IF(E428="","",IF(OR(ISNUMBER(SEARCH("狼",E428)),ISNUMBER(SEARCH("石像鬼",E428)),ISNUMBER(SEARCH("恶灵骑士",E428)),ISNUMBER(SEARCH("黑蝙蝠",E428)),ISNUMBER(SEARCH("血月使徒",E428))),"werewolves","villagers"))</f>
      </c>
      <c r="M428" s="0">
        <f>IF(F428="","",IF(ROUND(F428,2)=5,"win","loss"))</f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>
        <f>IF(D428="","",IFERROR(LOOKUP(2,1/(($D$2:$D$1001=D428)*($M$2:$M$1001="win")),$L$2:$L$1001),""))</f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>
        <f>IF(E429="","",IF(OR(ISNUMBER(SEARCH("狼",E429)),ISNUMBER(SEARCH("石像鬼",E429)),ISNUMBER(SEARCH("恶灵骑士",E429)),ISNUMBER(SEARCH("黑蝙蝠",E429)),ISNUMBER(SEARCH("血月使徒",E429))),"werewolves","villagers"))</f>
      </c>
      <c r="M429" s="0">
        <f>IF(F429="","",IF(ROUND(F429,2)=5,"win","loss"))</f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>
        <f>IF(D429="","",IFERROR(LOOKUP(2,1/(($D$2:$D$1001=D429)*($M$2:$M$1001="win")),$L$2:$L$1001),""))</f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 t="inlineStr">
        <is>
          <t xml:space="preserve"/>
        </is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>
        <f>IF(E430="","",IF(OR(ISNUMBER(SEARCH("狼",E430)),ISNUMBER(SEARCH("石像鬼",E430)),ISNUMBER(SEARCH("恶灵骑士",E430)),ISNUMBER(SEARCH("黑蝙蝠",E430)),ISNUMBER(SEARCH("血月使徒",E430))),"werewolves","villagers"))</f>
      </c>
      <c r="M430" s="0">
        <f>IF(F430="","",IF(ROUND(F430,2)=5,"win","loss"))</f>
      </c>
      <c r="N430" s="0" t="inlineStr">
        <is>
          <t xml:space="preserve"/>
        </is>
      </c>
      <c r="O430" s="0" t="inlineStr">
        <is>
          <t xml:space="preserve"/>
        </is>
      </c>
      <c r="P430" s="0" t="inlineStr">
        <is>
          <t xml:space="preserve"/>
        </is>
      </c>
      <c r="Q430" s="0" t="inlineStr">
        <is>
          <t xml:space="preserve"/>
        </is>
      </c>
      <c r="R430" s="0">
        <f>IF(D430="","",IFERROR(LOOKUP(2,1/(($D$2:$D$1001=D430)*($M$2:$M$1001="win")),$L$2:$L$1001),""))</f>
      </c>
      <c r="S430" s="0" t="inlineStr">
        <is>
          <t xml:space="preserve"/>
        </is>
      </c>
      <c r="T430" s="0" t="inlineStr">
        <is>
          <t xml:space="preserve"/>
        </is>
      </c>
      <c r="U430" s="0" t="inlineStr">
        <is>
          <t xml:space="preserve"/>
        </is>
      </c>
      <c r="V430" s="0" t="inlineStr">
        <is>
          <t xml:space="preserve"/>
        </is>
      </c>
      <c r="W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>
        <f>IF(E431="","",IF(OR(ISNUMBER(SEARCH("狼",E431)),ISNUMBER(SEARCH("石像鬼",E431)),ISNUMBER(SEARCH("恶灵骑士",E431)),ISNUMBER(SEARCH("黑蝙蝠",E431)),ISNUMBER(SEARCH("血月使徒",E431))),"werewolves","villagers"))</f>
      </c>
      <c r="M431" s="0">
        <f>IF(F431="","",IF(ROUND(F431,2)=5,"win","loss"))</f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>
        <f>IF(D431="","",IFERROR(LOOKUP(2,1/(($D$2:$D$1001=D431)*($M$2:$M$1001="win")),$L$2:$L$1001),""))</f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>
        <f>IF(E432="","",IF(OR(ISNUMBER(SEARCH("狼",E432)),ISNUMBER(SEARCH("石像鬼",E432)),ISNUMBER(SEARCH("恶灵骑士",E432)),ISNUMBER(SEARCH("黑蝙蝠",E432)),ISNUMBER(SEARCH("血月使徒",E432))),"werewolves","villagers"))</f>
      </c>
      <c r="M432" s="0">
        <f>IF(F432="","",IF(ROUND(F432,2)=5,"win","loss"))</f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>
        <f>IF(D432="","",IFERROR(LOOKUP(2,1/(($D$2:$D$1001=D432)*($M$2:$M$1001="win")),$L$2:$L$1001),""))</f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 t="inlineStr">
        <is>
          <t xml:space="preserve"/>
        </is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>
        <f>IF(E433="","",IF(OR(ISNUMBER(SEARCH("狼",E433)),ISNUMBER(SEARCH("石像鬼",E433)),ISNUMBER(SEARCH("恶灵骑士",E433)),ISNUMBER(SEARCH("黑蝙蝠",E433)),ISNUMBER(SEARCH("血月使徒",E433))),"werewolves","villagers"))</f>
      </c>
      <c r="M433" s="0">
        <f>IF(F433="","",IF(ROUND(F433,2)=5,"win","loss"))</f>
      </c>
      <c r="N433" s="0" t="inlineStr">
        <is>
          <t xml:space="preserve"/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/>
        </is>
      </c>
      <c r="R433" s="0">
        <f>IF(D433="","",IFERROR(LOOKUP(2,1/(($D$2:$D$1001=D433)*($M$2:$M$1001="win")),$L$2:$L$1001),""))</f>
      </c>
      <c r="S433" s="0" t="inlineStr">
        <is>
          <t xml:space="preserve"/>
        </is>
      </c>
      <c r="T433" s="0" t="inlineStr">
        <is>
          <t xml:space="preserve"/>
        </is>
      </c>
      <c r="U433" s="0" t="inlineStr">
        <is>
          <t xml:space="preserve"/>
        </is>
      </c>
      <c r="V433" s="0" t="inlineStr">
        <is>
          <t xml:space="preserve"/>
        </is>
      </c>
      <c r="W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 t="inlineStr">
        <is>
          <t xml:space="preserve"/>
        </is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>
        <f>IF(E434="","",IF(OR(ISNUMBER(SEARCH("狼",E434)),ISNUMBER(SEARCH("石像鬼",E434)),ISNUMBER(SEARCH("恶灵骑士",E434)),ISNUMBER(SEARCH("黑蝙蝠",E434)),ISNUMBER(SEARCH("血月使徒",E434))),"werewolves","villagers"))</f>
      </c>
      <c r="M434" s="0">
        <f>IF(F434="","",IF(ROUND(F434,2)=5,"win","loss"))</f>
      </c>
      <c r="N434" s="0" t="inlineStr">
        <is>
          <t xml:space="preserve"/>
        </is>
      </c>
      <c r="O434" s="0" t="inlineStr">
        <is>
          <t xml:space="preserve"/>
        </is>
      </c>
      <c r="P434" s="0" t="inlineStr">
        <is>
          <t xml:space="preserve"/>
        </is>
      </c>
      <c r="Q434" s="0" t="inlineStr">
        <is>
          <t xml:space="preserve"/>
        </is>
      </c>
      <c r="R434" s="0">
        <f>IF(D434="","",IFERROR(LOOKUP(2,1/(($D$2:$D$1001=D434)*($M$2:$M$1001="win")),$L$2:$L$1001),""))</f>
      </c>
      <c r="S434" s="0" t="inlineStr">
        <is>
          <t xml:space="preserve"/>
        </is>
      </c>
      <c r="T434" s="0" t="inlineStr">
        <is>
          <t xml:space="preserve"/>
        </is>
      </c>
      <c r="U434" s="0" t="inlineStr">
        <is>
          <t xml:space="preserve"/>
        </is>
      </c>
      <c r="V434" s="0" t="inlineStr">
        <is>
          <t xml:space="preserve"/>
        </is>
      </c>
      <c r="W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>
        <f>IF(E435="","",IF(OR(ISNUMBER(SEARCH("狼",E435)),ISNUMBER(SEARCH("石像鬼",E435)),ISNUMBER(SEARCH("恶灵骑士",E435)),ISNUMBER(SEARCH("黑蝙蝠",E435)),ISNUMBER(SEARCH("血月使徒",E435))),"werewolves","villagers"))</f>
      </c>
      <c r="M435" s="0">
        <f>IF(F435="","",IF(ROUND(F435,2)=5,"win","loss"))</f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>
        <f>IF(D435="","",IFERROR(LOOKUP(2,1/(($D$2:$D$1001=D435)*($M$2:$M$1001="win")),$L$2:$L$1001),""))</f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>
        <f>IF(E436="","",IF(OR(ISNUMBER(SEARCH("狼",E436)),ISNUMBER(SEARCH("石像鬼",E436)),ISNUMBER(SEARCH("恶灵骑士",E436)),ISNUMBER(SEARCH("黑蝙蝠",E436)),ISNUMBER(SEARCH("血月使徒",E436))),"werewolves","villagers"))</f>
      </c>
      <c r="M436" s="0">
        <f>IF(F436="","",IF(ROUND(F436,2)=5,"win","loss"))</f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>
        <f>IF(D436="","",IFERROR(LOOKUP(2,1/(($D$2:$D$1001=D436)*($M$2:$M$1001="win")),$L$2:$L$1001),""))</f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>
        <f>IF(E437="","",IF(OR(ISNUMBER(SEARCH("狼",E437)),ISNUMBER(SEARCH("石像鬼",E437)),ISNUMBER(SEARCH("恶灵骑士",E437)),ISNUMBER(SEARCH("黑蝙蝠",E437)),ISNUMBER(SEARCH("血月使徒",E437))),"werewolves","villagers"))</f>
      </c>
      <c r="M437" s="0">
        <f>IF(F437="","",IF(ROUND(F437,2)=5,"win","loss"))</f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>
        <f>IF(D437="","",IFERROR(LOOKUP(2,1/(($D$2:$D$1001=D437)*($M$2:$M$1001="win")),$L$2:$L$1001),""))</f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 t="inlineStr">
        <is>
          <t xml:space="preserve"/>
        </is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>
        <f>IF(E438="","",IF(OR(ISNUMBER(SEARCH("狼",E438)),ISNUMBER(SEARCH("石像鬼",E438)),ISNUMBER(SEARCH("恶灵骑士",E438)),ISNUMBER(SEARCH("黑蝙蝠",E438)),ISNUMBER(SEARCH("血月使徒",E438))),"werewolves","villagers"))</f>
      </c>
      <c r="M438" s="0">
        <f>IF(F438="","",IF(ROUND(F438,2)=5,"win","loss"))</f>
      </c>
      <c r="N438" s="0" t="inlineStr">
        <is>
          <t xml:space="preserve"/>
        </is>
      </c>
      <c r="O438" s="0" t="inlineStr">
        <is>
          <t xml:space="preserve"/>
        </is>
      </c>
      <c r="P438" s="0" t="inlineStr">
        <is>
          <t xml:space="preserve"/>
        </is>
      </c>
      <c r="Q438" s="0" t="inlineStr">
        <is>
          <t xml:space="preserve"/>
        </is>
      </c>
      <c r="R438" s="0">
        <f>IF(D438="","",IFERROR(LOOKUP(2,1/(($D$2:$D$1001=D438)*($M$2:$M$1001="win")),$L$2:$L$1001),""))</f>
      </c>
      <c r="S438" s="0" t="inlineStr">
        <is>
          <t xml:space="preserve"/>
        </is>
      </c>
      <c r="T438" s="0" t="inlineStr">
        <is>
          <t xml:space="preserve"/>
        </is>
      </c>
      <c r="U438" s="0" t="inlineStr">
        <is>
          <t xml:space="preserve"/>
        </is>
      </c>
      <c r="V438" s="0" t="inlineStr">
        <is>
          <t xml:space="preserve"/>
        </is>
      </c>
      <c r="W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 t="inlineStr">
        <is>
          <t xml:space="preserve"/>
        </is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>
        <f>IF(E439="","",IF(OR(ISNUMBER(SEARCH("狼",E439)),ISNUMBER(SEARCH("石像鬼",E439)),ISNUMBER(SEARCH("恶灵骑士",E439)),ISNUMBER(SEARCH("黑蝙蝠",E439)),ISNUMBER(SEARCH("血月使徒",E439))),"werewolves","villagers"))</f>
      </c>
      <c r="M439" s="0">
        <f>IF(F439="","",IF(ROUND(F439,2)=5,"win","loss"))</f>
      </c>
      <c r="N439" s="0" t="inlineStr">
        <is>
          <t xml:space="preserve"/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/>
        </is>
      </c>
      <c r="R439" s="0">
        <f>IF(D439="","",IFERROR(LOOKUP(2,1/(($D$2:$D$1001=D439)*($M$2:$M$1001="win")),$L$2:$L$1001),""))</f>
      </c>
      <c r="S439" s="0" t="inlineStr">
        <is>
          <t xml:space="preserve"/>
        </is>
      </c>
      <c r="T439" s="0" t="inlineStr">
        <is>
          <t xml:space="preserve"/>
        </is>
      </c>
      <c r="U439" s="0" t="inlineStr">
        <is>
          <t xml:space="preserve"/>
        </is>
      </c>
      <c r="V439" s="0" t="inlineStr">
        <is>
          <t xml:space="preserve"/>
        </is>
      </c>
      <c r="W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>
        <f>IF(E440="","",IF(OR(ISNUMBER(SEARCH("狼",E440)),ISNUMBER(SEARCH("石像鬼",E440)),ISNUMBER(SEARCH("恶灵骑士",E440)),ISNUMBER(SEARCH("黑蝙蝠",E440)),ISNUMBER(SEARCH("血月使徒",E440))),"werewolves","villagers"))</f>
      </c>
      <c r="M440" s="0">
        <f>IF(F440="","",IF(ROUND(F440,2)=5,"win","loss"))</f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>
        <f>IF(D440="","",IFERROR(LOOKUP(2,1/(($D$2:$D$1001=D440)*($M$2:$M$1001="win")),$L$2:$L$1001),""))</f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>
        <f>IF(E441="","",IF(OR(ISNUMBER(SEARCH("狼",E441)),ISNUMBER(SEARCH("石像鬼",E441)),ISNUMBER(SEARCH("恶灵骑士",E441)),ISNUMBER(SEARCH("黑蝙蝠",E441)),ISNUMBER(SEARCH("血月使徒",E441))),"werewolves","villagers"))</f>
      </c>
      <c r="M441" s="0">
        <f>IF(F441="","",IF(ROUND(F441,2)=5,"win","loss"))</f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>
        <f>IF(D441="","",IFERROR(LOOKUP(2,1/(($D$2:$D$1001=D441)*($M$2:$M$1001="win")),$L$2:$L$1001),""))</f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>
        <f>IF(E442="","",IF(OR(ISNUMBER(SEARCH("狼",E442)),ISNUMBER(SEARCH("石像鬼",E442)),ISNUMBER(SEARCH("恶灵骑士",E442)),ISNUMBER(SEARCH("黑蝙蝠",E442)),ISNUMBER(SEARCH("血月使徒",E442))),"werewolves","villagers"))</f>
      </c>
      <c r="M442" s="0">
        <f>IF(F442="","",IF(ROUND(F442,2)=5,"win","loss"))</f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>
        <f>IF(D442="","",IFERROR(LOOKUP(2,1/(($D$2:$D$1001=D442)*($M$2:$M$1001="win")),$L$2:$L$1001),""))</f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>
        <f>IF(E443="","",IF(OR(ISNUMBER(SEARCH("狼",E443)),ISNUMBER(SEARCH("石像鬼",E443)),ISNUMBER(SEARCH("恶灵骑士",E443)),ISNUMBER(SEARCH("黑蝙蝠",E443)),ISNUMBER(SEARCH("血月使徒",E443))),"werewolves","villagers"))</f>
      </c>
      <c r="M443" s="0">
        <f>IF(F443="","",IF(ROUND(F443,2)=5,"win","loss"))</f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>
        <f>IF(D443="","",IFERROR(LOOKUP(2,1/(($D$2:$D$1001=D443)*($M$2:$M$1001="win")),$L$2:$L$1001),""))</f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>
        <f>IF(E444="","",IF(OR(ISNUMBER(SEARCH("狼",E444)),ISNUMBER(SEARCH("石像鬼",E444)),ISNUMBER(SEARCH("恶灵骑士",E444)),ISNUMBER(SEARCH("黑蝙蝠",E444)),ISNUMBER(SEARCH("血月使徒",E444))),"werewolves","villagers"))</f>
      </c>
      <c r="M444" s="0">
        <f>IF(F444="","",IF(ROUND(F444,2)=5,"win","loss"))</f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>
        <f>IF(D444="","",IFERROR(LOOKUP(2,1/(($D$2:$D$1001=D444)*($M$2:$M$1001="win")),$L$2:$L$1001),""))</f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>
        <f>IF(E445="","",IF(OR(ISNUMBER(SEARCH("狼",E445)),ISNUMBER(SEARCH("石像鬼",E445)),ISNUMBER(SEARCH("恶灵骑士",E445)),ISNUMBER(SEARCH("黑蝙蝠",E445)),ISNUMBER(SEARCH("血月使徒",E445))),"werewolves","villagers"))</f>
      </c>
      <c r="M445" s="0">
        <f>IF(F445="","",IF(ROUND(F445,2)=5,"win","loss"))</f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>
        <f>IF(D445="","",IFERROR(LOOKUP(2,1/(($D$2:$D$1001=D445)*($M$2:$M$1001="win")),$L$2:$L$1001),""))</f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 t="inlineStr">
        <is>
          <t xml:space="preserve"/>
        </is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>
        <f>IF(E446="","",IF(OR(ISNUMBER(SEARCH("狼",E446)),ISNUMBER(SEARCH("石像鬼",E446)),ISNUMBER(SEARCH("恶灵骑士",E446)),ISNUMBER(SEARCH("黑蝙蝠",E446)),ISNUMBER(SEARCH("血月使徒",E446))),"werewolves","villagers"))</f>
      </c>
      <c r="M446" s="0">
        <f>IF(F446="","",IF(ROUND(F446,2)=5,"win","loss"))</f>
      </c>
      <c r="N446" s="0" t="inlineStr">
        <is>
          <t xml:space="preserve"/>
        </is>
      </c>
      <c r="O446" s="0" t="inlineStr">
        <is>
          <t xml:space="preserve"/>
        </is>
      </c>
      <c r="P446" s="0" t="inlineStr">
        <is>
          <t xml:space="preserve"/>
        </is>
      </c>
      <c r="Q446" s="0" t="inlineStr">
        <is>
          <t xml:space="preserve"/>
        </is>
      </c>
      <c r="R446" s="0">
        <f>IF(D446="","",IFERROR(LOOKUP(2,1/(($D$2:$D$1001=D446)*($M$2:$M$1001="win")),$L$2:$L$1001),""))</f>
      </c>
      <c r="S446" s="0" t="inlineStr">
        <is>
          <t xml:space="preserve"/>
        </is>
      </c>
      <c r="T446" s="0" t="inlineStr">
        <is>
          <t xml:space="preserve"/>
        </is>
      </c>
      <c r="U446" s="0" t="inlineStr">
        <is>
          <t xml:space="preserve"/>
        </is>
      </c>
      <c r="V446" s="0" t="inlineStr">
        <is>
          <t xml:space="preserve"/>
        </is>
      </c>
      <c r="W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>
        <f>IF(E447="","",IF(OR(ISNUMBER(SEARCH("狼",E447)),ISNUMBER(SEARCH("石像鬼",E447)),ISNUMBER(SEARCH("恶灵骑士",E447)),ISNUMBER(SEARCH("黑蝙蝠",E447)),ISNUMBER(SEARCH("血月使徒",E447))),"werewolves","villagers"))</f>
      </c>
      <c r="M447" s="0">
        <f>IF(F447="","",IF(ROUND(F447,2)=5,"win","loss"))</f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>
        <f>IF(D447="","",IFERROR(LOOKUP(2,1/(($D$2:$D$1001=D447)*($M$2:$M$1001="win")),$L$2:$L$1001),""))</f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>
        <f>IF(E448="","",IF(OR(ISNUMBER(SEARCH("狼",E448)),ISNUMBER(SEARCH("石像鬼",E448)),ISNUMBER(SEARCH("恶灵骑士",E448)),ISNUMBER(SEARCH("黑蝙蝠",E448)),ISNUMBER(SEARCH("血月使徒",E448))),"werewolves","villagers"))</f>
      </c>
      <c r="M448" s="0">
        <f>IF(F448="","",IF(ROUND(F448,2)=5,"win","loss"))</f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>
        <f>IF(D448="","",IFERROR(LOOKUP(2,1/(($D$2:$D$1001=D448)*($M$2:$M$1001="win")),$L$2:$L$1001),""))</f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>
        <f>IF(E449="","",IF(OR(ISNUMBER(SEARCH("狼",E449)),ISNUMBER(SEARCH("石像鬼",E449)),ISNUMBER(SEARCH("恶灵骑士",E449)),ISNUMBER(SEARCH("黑蝙蝠",E449)),ISNUMBER(SEARCH("血月使徒",E449))),"werewolves","villagers"))</f>
      </c>
      <c r="M449" s="0">
        <f>IF(F449="","",IF(ROUND(F449,2)=5,"win","loss"))</f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>
        <f>IF(D449="","",IFERROR(LOOKUP(2,1/(($D$2:$D$1001=D449)*($M$2:$M$1001="win")),$L$2:$L$1001),""))</f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 t="inlineStr">
        <is>
          <t xml:space="preserve"/>
        </is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>
        <f>IF(E450="","",IF(OR(ISNUMBER(SEARCH("狼",E450)),ISNUMBER(SEARCH("石像鬼",E450)),ISNUMBER(SEARCH("恶灵骑士",E450)),ISNUMBER(SEARCH("黑蝙蝠",E450)),ISNUMBER(SEARCH("血月使徒",E450))),"werewolves","villagers"))</f>
      </c>
      <c r="M450" s="0">
        <f>IF(F450="","",IF(ROUND(F450,2)=5,"win","loss"))</f>
      </c>
      <c r="N450" s="0" t="inlineStr">
        <is>
          <t xml:space="preserve"/>
        </is>
      </c>
      <c r="O450" s="0" t="inlineStr">
        <is>
          <t xml:space="preserve"/>
        </is>
      </c>
      <c r="P450" s="0" t="inlineStr">
        <is>
          <t xml:space="preserve"/>
        </is>
      </c>
      <c r="Q450" s="0" t="inlineStr">
        <is>
          <t xml:space="preserve"/>
        </is>
      </c>
      <c r="R450" s="0">
        <f>IF(D450="","",IFERROR(LOOKUP(2,1/(($D$2:$D$1001=D450)*($M$2:$M$1001="win")),$L$2:$L$1001),""))</f>
      </c>
      <c r="S450" s="0" t="inlineStr">
        <is>
          <t xml:space="preserve"/>
        </is>
      </c>
      <c r="T450" s="0" t="inlineStr">
        <is>
          <t xml:space="preserve"/>
        </is>
      </c>
      <c r="U450" s="0" t="inlineStr">
        <is>
          <t xml:space="preserve"/>
        </is>
      </c>
      <c r="V450" s="0" t="inlineStr">
        <is>
          <t xml:space="preserve"/>
        </is>
      </c>
      <c r="W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>
        <f>IF(E451="","",IF(OR(ISNUMBER(SEARCH("狼",E451)),ISNUMBER(SEARCH("石像鬼",E451)),ISNUMBER(SEARCH("恶灵骑士",E451)),ISNUMBER(SEARCH("黑蝙蝠",E451)),ISNUMBER(SEARCH("血月使徒",E451))),"werewolves","villagers"))</f>
      </c>
      <c r="M451" s="0">
        <f>IF(F451="","",IF(ROUND(F451,2)=5,"win","loss"))</f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>
        <f>IF(D451="","",IFERROR(LOOKUP(2,1/(($D$2:$D$1001=D451)*($M$2:$M$1001="win")),$L$2:$L$1001),""))</f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>
        <f>IF(E452="","",IF(OR(ISNUMBER(SEARCH("狼",E452)),ISNUMBER(SEARCH("石像鬼",E452)),ISNUMBER(SEARCH("恶灵骑士",E452)),ISNUMBER(SEARCH("黑蝙蝠",E452)),ISNUMBER(SEARCH("血月使徒",E452))),"werewolves","villagers"))</f>
      </c>
      <c r="M452" s="0">
        <f>IF(F452="","",IF(ROUND(F452,2)=5,"win","loss"))</f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>
        <f>IF(D452="","",IFERROR(LOOKUP(2,1/(($D$2:$D$1001=D452)*($M$2:$M$1001="win")),$L$2:$L$1001),""))</f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 t="inlineStr">
        <is>
          <t xml:space="preserve"/>
        </is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>
        <f>IF(E453="","",IF(OR(ISNUMBER(SEARCH("狼",E453)),ISNUMBER(SEARCH("石像鬼",E453)),ISNUMBER(SEARCH("恶灵骑士",E453)),ISNUMBER(SEARCH("黑蝙蝠",E453)),ISNUMBER(SEARCH("血月使徒",E453))),"werewolves","villagers"))</f>
      </c>
      <c r="M453" s="0">
        <f>IF(F453="","",IF(ROUND(F453,2)=5,"win","loss"))</f>
      </c>
      <c r="N453" s="0" t="inlineStr">
        <is>
          <t xml:space="preserve"/>
        </is>
      </c>
      <c r="O453" s="0" t="inlineStr">
        <is>
          <t xml:space="preserve"/>
        </is>
      </c>
      <c r="P453" s="0" t="inlineStr">
        <is>
          <t xml:space="preserve"/>
        </is>
      </c>
      <c r="Q453" s="0" t="inlineStr">
        <is>
          <t xml:space="preserve"/>
        </is>
      </c>
      <c r="R453" s="0">
        <f>IF(D453="","",IFERROR(LOOKUP(2,1/(($D$2:$D$1001=D453)*($M$2:$M$1001="win")),$L$2:$L$1001),""))</f>
      </c>
      <c r="S453" s="0" t="inlineStr">
        <is>
          <t xml:space="preserve"/>
        </is>
      </c>
      <c r="T453" s="0" t="inlineStr">
        <is>
          <t xml:space="preserve"/>
        </is>
      </c>
      <c r="U453" s="0" t="inlineStr">
        <is>
          <t xml:space="preserve"/>
        </is>
      </c>
      <c r="V453" s="0" t="inlineStr">
        <is>
          <t xml:space="preserve"/>
        </is>
      </c>
      <c r="W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>
        <f>IF(E454="","",IF(OR(ISNUMBER(SEARCH("狼",E454)),ISNUMBER(SEARCH("石像鬼",E454)),ISNUMBER(SEARCH("恶灵骑士",E454)),ISNUMBER(SEARCH("黑蝙蝠",E454)),ISNUMBER(SEARCH("血月使徒",E454))),"werewolves","villagers"))</f>
      </c>
      <c r="M454" s="0">
        <f>IF(F454="","",IF(ROUND(F454,2)=5,"win","loss"))</f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>
        <f>IF(D454="","",IFERROR(LOOKUP(2,1/(($D$2:$D$1001=D454)*($M$2:$M$1001="win")),$L$2:$L$1001),""))</f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>
        <f>IF(E455="","",IF(OR(ISNUMBER(SEARCH("狼",E455)),ISNUMBER(SEARCH("石像鬼",E455)),ISNUMBER(SEARCH("恶灵骑士",E455)),ISNUMBER(SEARCH("黑蝙蝠",E455)),ISNUMBER(SEARCH("血月使徒",E455))),"werewolves","villagers"))</f>
      </c>
      <c r="M455" s="0">
        <f>IF(F455="","",IF(ROUND(F455,2)=5,"win","loss"))</f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>
        <f>IF(D455="","",IFERROR(LOOKUP(2,1/(($D$2:$D$1001=D455)*($M$2:$M$1001="win")),$L$2:$L$1001),""))</f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>
        <f>IF(E456="","",IF(OR(ISNUMBER(SEARCH("狼",E456)),ISNUMBER(SEARCH("石像鬼",E456)),ISNUMBER(SEARCH("恶灵骑士",E456)),ISNUMBER(SEARCH("黑蝙蝠",E456)),ISNUMBER(SEARCH("血月使徒",E456))),"werewolves","villagers"))</f>
      </c>
      <c r="M456" s="0">
        <f>IF(F456="","",IF(ROUND(F456,2)=5,"win","loss"))</f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>
        <f>IF(D456="","",IFERROR(LOOKUP(2,1/(($D$2:$D$1001=D456)*($M$2:$M$1001="win")),$L$2:$L$1001),""))</f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>
        <f>IF(E457="","",IF(OR(ISNUMBER(SEARCH("狼",E457)),ISNUMBER(SEARCH("石像鬼",E457)),ISNUMBER(SEARCH("恶灵骑士",E457)),ISNUMBER(SEARCH("黑蝙蝠",E457)),ISNUMBER(SEARCH("血月使徒",E457))),"werewolves","villagers"))</f>
      </c>
      <c r="M457" s="0">
        <f>IF(F457="","",IF(ROUND(F457,2)=5,"win","loss"))</f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>
        <f>IF(D457="","",IFERROR(LOOKUP(2,1/(($D$2:$D$1001=D457)*($M$2:$M$1001="win")),$L$2:$L$1001),""))</f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>
        <f>IF(E458="","",IF(OR(ISNUMBER(SEARCH("狼",E458)),ISNUMBER(SEARCH("石像鬼",E458)),ISNUMBER(SEARCH("恶灵骑士",E458)),ISNUMBER(SEARCH("黑蝙蝠",E458)),ISNUMBER(SEARCH("血月使徒",E458))),"werewolves","villagers"))</f>
      </c>
      <c r="M458" s="0">
        <f>IF(F458="","",IF(ROUND(F458,2)=5,"win","loss"))</f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>
        <f>IF(D458="","",IFERROR(LOOKUP(2,1/(($D$2:$D$1001=D458)*($M$2:$M$1001="win")),$L$2:$L$1001),""))</f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>
        <f>IF(E459="","",IF(OR(ISNUMBER(SEARCH("狼",E459)),ISNUMBER(SEARCH("石像鬼",E459)),ISNUMBER(SEARCH("恶灵骑士",E459)),ISNUMBER(SEARCH("黑蝙蝠",E459)),ISNUMBER(SEARCH("血月使徒",E459))),"werewolves","villagers"))</f>
      </c>
      <c r="M459" s="0">
        <f>IF(F459="","",IF(ROUND(F459,2)=5,"win","loss"))</f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>
        <f>IF(D459="","",IFERROR(LOOKUP(2,1/(($D$2:$D$1001=D459)*($M$2:$M$1001="win")),$L$2:$L$1001),""))</f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>
        <f>IF(E460="","",IF(OR(ISNUMBER(SEARCH("狼",E460)),ISNUMBER(SEARCH("石像鬼",E460)),ISNUMBER(SEARCH("恶灵骑士",E460)),ISNUMBER(SEARCH("黑蝙蝠",E460)),ISNUMBER(SEARCH("血月使徒",E460))),"werewolves","villagers"))</f>
      </c>
      <c r="M460" s="0">
        <f>IF(F460="","",IF(ROUND(F460,2)=5,"win","loss"))</f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>
        <f>IF(D460="","",IFERROR(LOOKUP(2,1/(($D$2:$D$1001=D460)*($M$2:$M$1001="win")),$L$2:$L$1001),""))</f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>
        <f>IF(E461="","",IF(OR(ISNUMBER(SEARCH("狼",E461)),ISNUMBER(SEARCH("石像鬼",E461)),ISNUMBER(SEARCH("恶灵骑士",E461)),ISNUMBER(SEARCH("黑蝙蝠",E461)),ISNUMBER(SEARCH("血月使徒",E461))),"werewolves","villagers"))</f>
      </c>
      <c r="M461" s="0">
        <f>IF(F461="","",IF(ROUND(F461,2)=5,"win","loss"))</f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>
        <f>IF(D461="","",IFERROR(LOOKUP(2,1/(($D$2:$D$1001=D461)*($M$2:$M$1001="win")),$L$2:$L$1001),""))</f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>
        <f>IF(E462="","",IF(OR(ISNUMBER(SEARCH("狼",E462)),ISNUMBER(SEARCH("石像鬼",E462)),ISNUMBER(SEARCH("恶灵骑士",E462)),ISNUMBER(SEARCH("黑蝙蝠",E462)),ISNUMBER(SEARCH("血月使徒",E462))),"werewolves","villagers"))</f>
      </c>
      <c r="M462" s="0">
        <f>IF(F462="","",IF(ROUND(F462,2)=5,"win","loss"))</f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>
        <f>IF(D462="","",IFERROR(LOOKUP(2,1/(($D$2:$D$1001=D462)*($M$2:$M$1001="win")),$L$2:$L$1001),""))</f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 t="inlineStr">
        <is>
          <t xml:space="preserve"/>
        </is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>
        <f>IF(E463="","",IF(OR(ISNUMBER(SEARCH("狼",E463)),ISNUMBER(SEARCH("石像鬼",E463)),ISNUMBER(SEARCH("恶灵骑士",E463)),ISNUMBER(SEARCH("黑蝙蝠",E463)),ISNUMBER(SEARCH("血月使徒",E463))),"werewolves","villagers"))</f>
      </c>
      <c r="M463" s="0">
        <f>IF(F463="","",IF(ROUND(F463,2)=5,"win","loss"))</f>
      </c>
      <c r="N463" s="0" t="inlineStr">
        <is>
          <t xml:space="preserve"/>
        </is>
      </c>
      <c r="O463" s="0" t="inlineStr">
        <is>
          <t xml:space="preserve"/>
        </is>
      </c>
      <c r="P463" s="0" t="inlineStr">
        <is>
          <t xml:space="preserve"/>
        </is>
      </c>
      <c r="Q463" s="0" t="inlineStr">
        <is>
          <t xml:space="preserve"/>
        </is>
      </c>
      <c r="R463" s="0">
        <f>IF(D463="","",IFERROR(LOOKUP(2,1/(($D$2:$D$1001=D463)*($M$2:$M$1001="win")),$L$2:$L$1001),""))</f>
      </c>
      <c r="S463" s="0" t="inlineStr">
        <is>
          <t xml:space="preserve"/>
        </is>
      </c>
      <c r="T463" s="0" t="inlineStr">
        <is>
          <t xml:space="preserve"/>
        </is>
      </c>
      <c r="U463" s="0" t="inlineStr">
        <is>
          <t xml:space="preserve"/>
        </is>
      </c>
      <c r="V463" s="0" t="inlineStr">
        <is>
          <t xml:space="preserve"/>
        </is>
      </c>
      <c r="W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>
        <f>IF(E464="","",IF(OR(ISNUMBER(SEARCH("狼",E464)),ISNUMBER(SEARCH("石像鬼",E464)),ISNUMBER(SEARCH("恶灵骑士",E464)),ISNUMBER(SEARCH("黑蝙蝠",E464)),ISNUMBER(SEARCH("血月使徒",E464))),"werewolves","villagers"))</f>
      </c>
      <c r="M464" s="0">
        <f>IF(F464="","",IF(ROUND(F464,2)=5,"win","loss"))</f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>
        <f>IF(D464="","",IFERROR(LOOKUP(2,1/(($D$2:$D$1001=D464)*($M$2:$M$1001="win")),$L$2:$L$1001),""))</f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>
        <f>IF(E465="","",IF(OR(ISNUMBER(SEARCH("狼",E465)),ISNUMBER(SEARCH("石像鬼",E465)),ISNUMBER(SEARCH("恶灵骑士",E465)),ISNUMBER(SEARCH("黑蝙蝠",E465)),ISNUMBER(SEARCH("血月使徒",E465))),"werewolves","villagers"))</f>
      </c>
      <c r="M465" s="0">
        <f>IF(F465="","",IF(ROUND(F465,2)=5,"win","loss"))</f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>
        <f>IF(D465="","",IFERROR(LOOKUP(2,1/(($D$2:$D$1001=D465)*($M$2:$M$1001="win")),$L$2:$L$1001),""))</f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>
        <f>IF(E466="","",IF(OR(ISNUMBER(SEARCH("狼",E466)),ISNUMBER(SEARCH("石像鬼",E466)),ISNUMBER(SEARCH("恶灵骑士",E466)),ISNUMBER(SEARCH("黑蝙蝠",E466)),ISNUMBER(SEARCH("血月使徒",E466))),"werewolves","villagers"))</f>
      </c>
      <c r="M466" s="0">
        <f>IF(F466="","",IF(ROUND(F466,2)=5,"win","loss"))</f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>
        <f>IF(D466="","",IFERROR(LOOKUP(2,1/(($D$2:$D$1001=D466)*($M$2:$M$1001="win")),$L$2:$L$1001),""))</f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>
        <f>IF(E467="","",IF(OR(ISNUMBER(SEARCH("狼",E467)),ISNUMBER(SEARCH("石像鬼",E467)),ISNUMBER(SEARCH("恶灵骑士",E467)),ISNUMBER(SEARCH("黑蝙蝠",E467)),ISNUMBER(SEARCH("血月使徒",E467))),"werewolves","villagers"))</f>
      </c>
      <c r="M467" s="0">
        <f>IF(F467="","",IF(ROUND(F467,2)=5,"win","loss"))</f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>
        <f>IF(D467="","",IFERROR(LOOKUP(2,1/(($D$2:$D$1001=D467)*($M$2:$M$1001="win")),$L$2:$L$1001),""))</f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>
        <f>IF(E468="","",IF(OR(ISNUMBER(SEARCH("狼",E468)),ISNUMBER(SEARCH("石像鬼",E468)),ISNUMBER(SEARCH("恶灵骑士",E468)),ISNUMBER(SEARCH("黑蝙蝠",E468)),ISNUMBER(SEARCH("血月使徒",E468))),"werewolves","villagers"))</f>
      </c>
      <c r="M468" s="0">
        <f>IF(F468="","",IF(ROUND(F468,2)=5,"win","loss"))</f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>
        <f>IF(D468="","",IFERROR(LOOKUP(2,1/(($D$2:$D$1001=D468)*($M$2:$M$1001="win")),$L$2:$L$1001),""))</f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>
        <f>IF(E469="","",IF(OR(ISNUMBER(SEARCH("狼",E469)),ISNUMBER(SEARCH("石像鬼",E469)),ISNUMBER(SEARCH("恶灵骑士",E469)),ISNUMBER(SEARCH("黑蝙蝠",E469)),ISNUMBER(SEARCH("血月使徒",E469))),"werewolves","villagers"))</f>
      </c>
      <c r="M469" s="0">
        <f>IF(F469="","",IF(ROUND(F469,2)=5,"win","loss"))</f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>
        <f>IF(D469="","",IFERROR(LOOKUP(2,1/(($D$2:$D$1001=D469)*($M$2:$M$1001="win")),$L$2:$L$1001),""))</f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>
        <f>IF(E470="","",IF(OR(ISNUMBER(SEARCH("狼",E470)),ISNUMBER(SEARCH("石像鬼",E470)),ISNUMBER(SEARCH("恶灵骑士",E470)),ISNUMBER(SEARCH("黑蝙蝠",E470)),ISNUMBER(SEARCH("血月使徒",E470))),"werewolves","villagers"))</f>
      </c>
      <c r="M470" s="0">
        <f>IF(F470="","",IF(ROUND(F470,2)=5,"win","loss"))</f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>
        <f>IF(D470="","",IFERROR(LOOKUP(2,1/(($D$2:$D$1001=D470)*($M$2:$M$1001="win")),$L$2:$L$1001),""))</f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>
        <f>IF(E471="","",IF(OR(ISNUMBER(SEARCH("狼",E471)),ISNUMBER(SEARCH("石像鬼",E471)),ISNUMBER(SEARCH("恶灵骑士",E471)),ISNUMBER(SEARCH("黑蝙蝠",E471)),ISNUMBER(SEARCH("血月使徒",E471))),"werewolves","villagers"))</f>
      </c>
      <c r="M471" s="0">
        <f>IF(F471="","",IF(ROUND(F471,2)=5,"win","loss"))</f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>
        <f>IF(D471="","",IFERROR(LOOKUP(2,1/(($D$2:$D$1001=D471)*($M$2:$M$1001="win")),$L$2:$L$1001),""))</f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 t="inlineStr">
        <is>
          <t xml:space="preserve"/>
        </is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>
        <f>IF(E472="","",IF(OR(ISNUMBER(SEARCH("狼",E472)),ISNUMBER(SEARCH("石像鬼",E472)),ISNUMBER(SEARCH("恶灵骑士",E472)),ISNUMBER(SEARCH("黑蝙蝠",E472)),ISNUMBER(SEARCH("血月使徒",E472))),"werewolves","villagers"))</f>
      </c>
      <c r="M472" s="0">
        <f>IF(F472="","",IF(ROUND(F472,2)=5,"win","loss"))</f>
      </c>
      <c r="N472" s="0" t="inlineStr">
        <is>
          <t xml:space="preserve"/>
        </is>
      </c>
      <c r="O472" s="0" t="inlineStr">
        <is>
          <t xml:space="preserve"/>
        </is>
      </c>
      <c r="P472" s="0" t="inlineStr">
        <is>
          <t xml:space="preserve"/>
        </is>
      </c>
      <c r="Q472" s="0" t="inlineStr">
        <is>
          <t xml:space="preserve"/>
        </is>
      </c>
      <c r="R472" s="0">
        <f>IF(D472="","",IFERROR(LOOKUP(2,1/(($D$2:$D$1001=D472)*($M$2:$M$1001="win")),$L$2:$L$1001),""))</f>
      </c>
      <c r="S472" s="0" t="inlineStr">
        <is>
          <t xml:space="preserve"/>
        </is>
      </c>
      <c r="T472" s="0" t="inlineStr">
        <is>
          <t xml:space="preserve"/>
        </is>
      </c>
      <c r="U472" s="0" t="inlineStr">
        <is>
          <t xml:space="preserve"/>
        </is>
      </c>
      <c r="V472" s="0" t="inlineStr">
        <is>
          <t xml:space="preserve"/>
        </is>
      </c>
      <c r="W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>
        <f>IF(E473="","",IF(OR(ISNUMBER(SEARCH("狼",E473)),ISNUMBER(SEARCH("石像鬼",E473)),ISNUMBER(SEARCH("恶灵骑士",E473)),ISNUMBER(SEARCH("黑蝙蝠",E473)),ISNUMBER(SEARCH("血月使徒",E473))),"werewolves","villagers"))</f>
      </c>
      <c r="M473" s="0">
        <f>IF(F473="","",IF(ROUND(F473,2)=5,"win","loss"))</f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>
        <f>IF(D473="","",IFERROR(LOOKUP(2,1/(($D$2:$D$1001=D473)*($M$2:$M$1001="win")),$L$2:$L$1001),""))</f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>
        <f>IF(E474="","",IF(OR(ISNUMBER(SEARCH("狼",E474)),ISNUMBER(SEARCH("石像鬼",E474)),ISNUMBER(SEARCH("恶灵骑士",E474)),ISNUMBER(SEARCH("黑蝙蝠",E474)),ISNUMBER(SEARCH("血月使徒",E474))),"werewolves","villagers"))</f>
      </c>
      <c r="M474" s="0">
        <f>IF(F474="","",IF(ROUND(F474,2)=5,"win","loss"))</f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>
        <f>IF(D474="","",IFERROR(LOOKUP(2,1/(($D$2:$D$1001=D474)*($M$2:$M$1001="win")),$L$2:$L$1001),""))</f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>
        <f>IF(E475="","",IF(OR(ISNUMBER(SEARCH("狼",E475)),ISNUMBER(SEARCH("石像鬼",E475)),ISNUMBER(SEARCH("恶灵骑士",E475)),ISNUMBER(SEARCH("黑蝙蝠",E475)),ISNUMBER(SEARCH("血月使徒",E475))),"werewolves","villagers"))</f>
      </c>
      <c r="M475" s="0">
        <f>IF(F475="","",IF(ROUND(F475,2)=5,"win","loss"))</f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>
        <f>IF(D475="","",IFERROR(LOOKUP(2,1/(($D$2:$D$1001=D475)*($M$2:$M$1001="win")),$L$2:$L$1001),""))</f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>
        <f>IF(E476="","",IF(OR(ISNUMBER(SEARCH("狼",E476)),ISNUMBER(SEARCH("石像鬼",E476)),ISNUMBER(SEARCH("恶灵骑士",E476)),ISNUMBER(SEARCH("黑蝙蝠",E476)),ISNUMBER(SEARCH("血月使徒",E476))),"werewolves","villagers"))</f>
      </c>
      <c r="M476" s="0">
        <f>IF(F476="","",IF(ROUND(F476,2)=5,"win","loss"))</f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>
        <f>IF(D476="","",IFERROR(LOOKUP(2,1/(($D$2:$D$1001=D476)*($M$2:$M$1001="win")),$L$2:$L$1001),""))</f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>
        <f>IF(E477="","",IF(OR(ISNUMBER(SEARCH("狼",E477)),ISNUMBER(SEARCH("石像鬼",E477)),ISNUMBER(SEARCH("恶灵骑士",E477)),ISNUMBER(SEARCH("黑蝙蝠",E477)),ISNUMBER(SEARCH("血月使徒",E477))),"werewolves","villagers"))</f>
      </c>
      <c r="M477" s="0">
        <f>IF(F477="","",IF(ROUND(F477,2)=5,"win","loss"))</f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>
        <f>IF(D477="","",IFERROR(LOOKUP(2,1/(($D$2:$D$1001=D477)*($M$2:$M$1001="win")),$L$2:$L$1001),""))</f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>
        <f>IF(E478="","",IF(OR(ISNUMBER(SEARCH("狼",E478)),ISNUMBER(SEARCH("石像鬼",E478)),ISNUMBER(SEARCH("恶灵骑士",E478)),ISNUMBER(SEARCH("黑蝙蝠",E478)),ISNUMBER(SEARCH("血月使徒",E478))),"werewolves","villagers"))</f>
      </c>
      <c r="M478" s="0">
        <f>IF(F478="","",IF(ROUND(F478,2)=5,"win","loss"))</f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>
        <f>IF(D478="","",IFERROR(LOOKUP(2,1/(($D$2:$D$1001=D478)*($M$2:$M$1001="win")),$L$2:$L$1001),""))</f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>
        <f>IF(E479="","",IF(OR(ISNUMBER(SEARCH("狼",E479)),ISNUMBER(SEARCH("石像鬼",E479)),ISNUMBER(SEARCH("恶灵骑士",E479)),ISNUMBER(SEARCH("黑蝙蝠",E479)),ISNUMBER(SEARCH("血月使徒",E479))),"werewolves","villagers"))</f>
      </c>
      <c r="M479" s="0">
        <f>IF(F479="","",IF(ROUND(F479,2)=5,"win","loss"))</f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>
        <f>IF(D479="","",IFERROR(LOOKUP(2,1/(($D$2:$D$1001=D479)*($M$2:$M$1001="win")),$L$2:$L$1001),""))</f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>
        <f>IF(E480="","",IF(OR(ISNUMBER(SEARCH("狼",E480)),ISNUMBER(SEARCH("石像鬼",E480)),ISNUMBER(SEARCH("恶灵骑士",E480)),ISNUMBER(SEARCH("黑蝙蝠",E480)),ISNUMBER(SEARCH("血月使徒",E480))),"werewolves","villagers"))</f>
      </c>
      <c r="M480" s="0">
        <f>IF(F480="","",IF(ROUND(F480,2)=5,"win","loss"))</f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>
        <f>IF(D480="","",IFERROR(LOOKUP(2,1/(($D$2:$D$1001=D480)*($M$2:$M$1001="win")),$L$2:$L$1001),""))</f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 t="inlineStr">
        <is>
          <t xml:space="preserve"/>
        </is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>
        <f>IF(E481="","",IF(OR(ISNUMBER(SEARCH("狼",E481)),ISNUMBER(SEARCH("石像鬼",E481)),ISNUMBER(SEARCH("恶灵骑士",E481)),ISNUMBER(SEARCH("黑蝙蝠",E481)),ISNUMBER(SEARCH("血月使徒",E481))),"werewolves","villagers"))</f>
      </c>
      <c r="M481" s="0">
        <f>IF(F481="","",IF(ROUND(F481,2)=5,"win","loss"))</f>
      </c>
      <c r="N481" s="0" t="inlineStr">
        <is>
          <t xml:space="preserve"/>
        </is>
      </c>
      <c r="O481" s="0" t="inlineStr">
        <is>
          <t xml:space="preserve"/>
        </is>
      </c>
      <c r="P481" s="0" t="inlineStr">
        <is>
          <t xml:space="preserve"/>
        </is>
      </c>
      <c r="Q481" s="0" t="inlineStr">
        <is>
          <t xml:space="preserve"/>
        </is>
      </c>
      <c r="R481" s="0">
        <f>IF(D481="","",IFERROR(LOOKUP(2,1/(($D$2:$D$1001=D481)*($M$2:$M$1001="win")),$L$2:$L$1001),""))</f>
      </c>
      <c r="S481" s="0" t="inlineStr">
        <is>
          <t xml:space="preserve"/>
        </is>
      </c>
      <c r="T481" s="0" t="inlineStr">
        <is>
          <t xml:space="preserve"/>
        </is>
      </c>
      <c r="U481" s="0" t="inlineStr">
        <is>
          <t xml:space="preserve"/>
        </is>
      </c>
      <c r="V481" s="0" t="inlineStr">
        <is>
          <t xml:space="preserve"/>
        </is>
      </c>
      <c r="W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>
        <f>IF(E482="","",IF(OR(ISNUMBER(SEARCH("狼",E482)),ISNUMBER(SEARCH("石像鬼",E482)),ISNUMBER(SEARCH("恶灵骑士",E482)),ISNUMBER(SEARCH("黑蝙蝠",E482)),ISNUMBER(SEARCH("血月使徒",E482))),"werewolves","villagers"))</f>
      </c>
      <c r="M482" s="0">
        <f>IF(F482="","",IF(ROUND(F482,2)=5,"win","loss"))</f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>
        <f>IF(D482="","",IFERROR(LOOKUP(2,1/(($D$2:$D$1001=D482)*($M$2:$M$1001="win")),$L$2:$L$1001),""))</f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>
        <f>IF(E483="","",IF(OR(ISNUMBER(SEARCH("狼",E483)),ISNUMBER(SEARCH("石像鬼",E483)),ISNUMBER(SEARCH("恶灵骑士",E483)),ISNUMBER(SEARCH("黑蝙蝠",E483)),ISNUMBER(SEARCH("血月使徒",E483))),"werewolves","villagers"))</f>
      </c>
      <c r="M483" s="0">
        <f>IF(F483="","",IF(ROUND(F483,2)=5,"win","loss"))</f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>
        <f>IF(D483="","",IFERROR(LOOKUP(2,1/(($D$2:$D$1001=D483)*($M$2:$M$1001="win")),$L$2:$L$1001),""))</f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>
        <f>IF(E484="","",IF(OR(ISNUMBER(SEARCH("狼",E484)),ISNUMBER(SEARCH("石像鬼",E484)),ISNUMBER(SEARCH("恶灵骑士",E484)),ISNUMBER(SEARCH("黑蝙蝠",E484)),ISNUMBER(SEARCH("血月使徒",E484))),"werewolves","villagers"))</f>
      </c>
      <c r="M484" s="0">
        <f>IF(F484="","",IF(ROUND(F484,2)=5,"win","loss"))</f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>
        <f>IF(D484="","",IFERROR(LOOKUP(2,1/(($D$2:$D$1001=D484)*($M$2:$M$1001="win")),$L$2:$L$1001),""))</f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 t="inlineStr">
        <is>
          <t xml:space="preserve"/>
        </is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>
        <f>IF(E485="","",IF(OR(ISNUMBER(SEARCH("狼",E485)),ISNUMBER(SEARCH("石像鬼",E485)),ISNUMBER(SEARCH("恶灵骑士",E485)),ISNUMBER(SEARCH("黑蝙蝠",E485)),ISNUMBER(SEARCH("血月使徒",E485))),"werewolves","villagers"))</f>
      </c>
      <c r="M485" s="0">
        <f>IF(F485="","",IF(ROUND(F485,2)=5,"win","loss"))</f>
      </c>
      <c r="N485" s="0" t="inlineStr">
        <is>
          <t xml:space="preserve"/>
        </is>
      </c>
      <c r="O485" s="0" t="inlineStr">
        <is>
          <t xml:space="preserve"/>
        </is>
      </c>
      <c r="P485" s="0" t="inlineStr">
        <is>
          <t xml:space="preserve"/>
        </is>
      </c>
      <c r="Q485" s="0" t="inlineStr">
        <is>
          <t xml:space="preserve"/>
        </is>
      </c>
      <c r="R485" s="0">
        <f>IF(D485="","",IFERROR(LOOKUP(2,1/(($D$2:$D$1001=D485)*($M$2:$M$1001="win")),$L$2:$L$1001),""))</f>
      </c>
      <c r="S485" s="0" t="inlineStr">
        <is>
          <t xml:space="preserve"/>
        </is>
      </c>
      <c r="T485" s="0" t="inlineStr">
        <is>
          <t xml:space="preserve"/>
        </is>
      </c>
      <c r="U485" s="0" t="inlineStr">
        <is>
          <t xml:space="preserve"/>
        </is>
      </c>
      <c r="V485" s="0" t="inlineStr">
        <is>
          <t xml:space="preserve"/>
        </is>
      </c>
      <c r="W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>
        <f>IF(E486="","",IF(OR(ISNUMBER(SEARCH("狼",E486)),ISNUMBER(SEARCH("石像鬼",E486)),ISNUMBER(SEARCH("恶灵骑士",E486)),ISNUMBER(SEARCH("黑蝙蝠",E486)),ISNUMBER(SEARCH("血月使徒",E486))),"werewolves","villagers"))</f>
      </c>
      <c r="M486" s="0">
        <f>IF(F486="","",IF(ROUND(F486,2)=5,"win","loss"))</f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>
        <f>IF(D486="","",IFERROR(LOOKUP(2,1/(($D$2:$D$1001=D486)*($M$2:$M$1001="win")),$L$2:$L$1001),""))</f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>
        <f>IF(E487="","",IF(OR(ISNUMBER(SEARCH("狼",E487)),ISNUMBER(SEARCH("石像鬼",E487)),ISNUMBER(SEARCH("恶灵骑士",E487)),ISNUMBER(SEARCH("黑蝙蝠",E487)),ISNUMBER(SEARCH("血月使徒",E487))),"werewolves","villagers"))</f>
      </c>
      <c r="M487" s="0">
        <f>IF(F487="","",IF(ROUND(F487,2)=5,"win","loss"))</f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>
        <f>IF(D487="","",IFERROR(LOOKUP(2,1/(($D$2:$D$1001=D487)*($M$2:$M$1001="win")),$L$2:$L$1001),""))</f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>
        <f>IF(E488="","",IF(OR(ISNUMBER(SEARCH("狼",E488)),ISNUMBER(SEARCH("石像鬼",E488)),ISNUMBER(SEARCH("恶灵骑士",E488)),ISNUMBER(SEARCH("黑蝙蝠",E488)),ISNUMBER(SEARCH("血月使徒",E488))),"werewolves","villagers"))</f>
      </c>
      <c r="M488" s="0">
        <f>IF(F488="","",IF(ROUND(F488,2)=5,"win","loss"))</f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>
        <f>IF(D488="","",IFERROR(LOOKUP(2,1/(($D$2:$D$1001=D488)*($M$2:$M$1001="win")),$L$2:$L$1001),""))</f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>
        <f>IF(E489="","",IF(OR(ISNUMBER(SEARCH("狼",E489)),ISNUMBER(SEARCH("石像鬼",E489)),ISNUMBER(SEARCH("恶灵骑士",E489)),ISNUMBER(SEARCH("黑蝙蝠",E489)),ISNUMBER(SEARCH("血月使徒",E489))),"werewolves","villagers"))</f>
      </c>
      <c r="M489" s="0">
        <f>IF(F489="","",IF(ROUND(F489,2)=5,"win","loss"))</f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>
        <f>IF(D489="","",IFERROR(LOOKUP(2,1/(($D$2:$D$1001=D489)*($M$2:$M$1001="win")),$L$2:$L$1001),""))</f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 t="inlineStr">
        <is>
          <t xml:space="preserve"/>
        </is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>
        <f>IF(E490="","",IF(OR(ISNUMBER(SEARCH("狼",E490)),ISNUMBER(SEARCH("石像鬼",E490)),ISNUMBER(SEARCH("恶灵骑士",E490)),ISNUMBER(SEARCH("黑蝙蝠",E490)),ISNUMBER(SEARCH("血月使徒",E490))),"werewolves","villagers"))</f>
      </c>
      <c r="M490" s="0">
        <f>IF(F490="","",IF(ROUND(F490,2)=5,"win","loss"))</f>
      </c>
      <c r="N490" s="0" t="inlineStr">
        <is>
          <t xml:space="preserve"/>
        </is>
      </c>
      <c r="O490" s="0" t="inlineStr">
        <is>
          <t xml:space="preserve"/>
        </is>
      </c>
      <c r="P490" s="0" t="inlineStr">
        <is>
          <t xml:space="preserve"/>
        </is>
      </c>
      <c r="Q490" s="0" t="inlineStr">
        <is>
          <t xml:space="preserve"/>
        </is>
      </c>
      <c r="R490" s="0">
        <f>IF(D490="","",IFERROR(LOOKUP(2,1/(($D$2:$D$1001=D490)*($M$2:$M$1001="win")),$L$2:$L$1001),""))</f>
      </c>
      <c r="S490" s="0" t="inlineStr">
        <is>
          <t xml:space="preserve"/>
        </is>
      </c>
      <c r="T490" s="0" t="inlineStr">
        <is>
          <t xml:space="preserve"/>
        </is>
      </c>
      <c r="U490" s="0" t="inlineStr">
        <is>
          <t xml:space="preserve"/>
        </is>
      </c>
      <c r="V490" s="0" t="inlineStr">
        <is>
          <t xml:space="preserve"/>
        </is>
      </c>
      <c r="W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>
        <f>IF(E491="","",IF(OR(ISNUMBER(SEARCH("狼",E491)),ISNUMBER(SEARCH("石像鬼",E491)),ISNUMBER(SEARCH("恶灵骑士",E491)),ISNUMBER(SEARCH("黑蝙蝠",E491)),ISNUMBER(SEARCH("血月使徒",E491))),"werewolves","villagers"))</f>
      </c>
      <c r="M491" s="0">
        <f>IF(F491="","",IF(ROUND(F491,2)=5,"win","loss"))</f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>
        <f>IF(D491="","",IFERROR(LOOKUP(2,1/(($D$2:$D$1001=D491)*($M$2:$M$1001="win")),$L$2:$L$1001),""))</f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>
        <f>IF(E492="","",IF(OR(ISNUMBER(SEARCH("狼",E492)),ISNUMBER(SEARCH("石像鬼",E492)),ISNUMBER(SEARCH("恶灵骑士",E492)),ISNUMBER(SEARCH("黑蝙蝠",E492)),ISNUMBER(SEARCH("血月使徒",E492))),"werewolves","villagers"))</f>
      </c>
      <c r="M492" s="0">
        <f>IF(F492="","",IF(ROUND(F492,2)=5,"win","loss"))</f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>
        <f>IF(D492="","",IFERROR(LOOKUP(2,1/(($D$2:$D$1001=D492)*($M$2:$M$1001="win")),$L$2:$L$1001),""))</f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>
        <f>IF(E493="","",IF(OR(ISNUMBER(SEARCH("狼",E493)),ISNUMBER(SEARCH("石像鬼",E493)),ISNUMBER(SEARCH("恶灵骑士",E493)),ISNUMBER(SEARCH("黑蝙蝠",E493)),ISNUMBER(SEARCH("血月使徒",E493))),"werewolves","villagers"))</f>
      </c>
      <c r="M493" s="0">
        <f>IF(F493="","",IF(ROUND(F493,2)=5,"win","loss"))</f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>
        <f>IF(D493="","",IFERROR(LOOKUP(2,1/(($D$2:$D$1001=D493)*($M$2:$M$1001="win")),$L$2:$L$1001),""))</f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>
        <f>IF(E494="","",IF(OR(ISNUMBER(SEARCH("狼",E494)),ISNUMBER(SEARCH("石像鬼",E494)),ISNUMBER(SEARCH("恶灵骑士",E494)),ISNUMBER(SEARCH("黑蝙蝠",E494)),ISNUMBER(SEARCH("血月使徒",E494))),"werewolves","villagers"))</f>
      </c>
      <c r="M494" s="0">
        <f>IF(F494="","",IF(ROUND(F494,2)=5,"win","loss"))</f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>
        <f>IF(D494="","",IFERROR(LOOKUP(2,1/(($D$2:$D$1001=D494)*($M$2:$M$1001="win")),$L$2:$L$1001),""))</f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>
        <f>IF(E495="","",IF(OR(ISNUMBER(SEARCH("狼",E495)),ISNUMBER(SEARCH("石像鬼",E495)),ISNUMBER(SEARCH("恶灵骑士",E495)),ISNUMBER(SEARCH("黑蝙蝠",E495)),ISNUMBER(SEARCH("血月使徒",E495))),"werewolves","villagers"))</f>
      </c>
      <c r="M495" s="0">
        <f>IF(F495="","",IF(ROUND(F495,2)=5,"win","loss"))</f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>
        <f>IF(D495="","",IFERROR(LOOKUP(2,1/(($D$2:$D$1001=D495)*($M$2:$M$1001="win")),$L$2:$L$1001),""))</f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>
        <f>IF(E496="","",IF(OR(ISNUMBER(SEARCH("狼",E496)),ISNUMBER(SEARCH("石像鬼",E496)),ISNUMBER(SEARCH("恶灵骑士",E496)),ISNUMBER(SEARCH("黑蝙蝠",E496)),ISNUMBER(SEARCH("血月使徒",E496))),"werewolves","villagers"))</f>
      </c>
      <c r="M496" s="0">
        <f>IF(F496="","",IF(ROUND(F496,2)=5,"win","loss"))</f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>
        <f>IF(D496="","",IFERROR(LOOKUP(2,1/(($D$2:$D$1001=D496)*($M$2:$M$1001="win")),$L$2:$L$1001),""))</f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 t="inlineStr">
        <is>
          <t xml:space="preserve"/>
        </is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>
        <f>IF(E497="","",IF(OR(ISNUMBER(SEARCH("狼",E497)),ISNUMBER(SEARCH("石像鬼",E497)),ISNUMBER(SEARCH("恶灵骑士",E497)),ISNUMBER(SEARCH("黑蝙蝠",E497)),ISNUMBER(SEARCH("血月使徒",E497))),"werewolves","villagers"))</f>
      </c>
      <c r="M497" s="0">
        <f>IF(F497="","",IF(ROUND(F497,2)=5,"win","loss"))</f>
      </c>
      <c r="N497" s="0" t="inlineStr">
        <is>
          <t xml:space="preserve"/>
        </is>
      </c>
      <c r="O497" s="0" t="inlineStr">
        <is>
          <t xml:space="preserve"/>
        </is>
      </c>
      <c r="P497" s="0" t="inlineStr">
        <is>
          <t xml:space="preserve"/>
        </is>
      </c>
      <c r="Q497" s="0" t="inlineStr">
        <is>
          <t xml:space="preserve"/>
        </is>
      </c>
      <c r="R497" s="0">
        <f>IF(D497="","",IFERROR(LOOKUP(2,1/(($D$2:$D$1001=D497)*($M$2:$M$1001="win")),$L$2:$L$1001),""))</f>
      </c>
      <c r="S497" s="0" t="inlineStr">
        <is>
          <t xml:space="preserve"/>
        </is>
      </c>
      <c r="T497" s="0" t="inlineStr">
        <is>
          <t xml:space="preserve"/>
        </is>
      </c>
      <c r="U497" s="0" t="inlineStr">
        <is>
          <t xml:space="preserve"/>
        </is>
      </c>
      <c r="V497" s="0" t="inlineStr">
        <is>
          <t xml:space="preserve"/>
        </is>
      </c>
      <c r="W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 t="inlineStr">
        <is>
          <t xml:space="preserve"/>
        </is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>
        <f>IF(E498="","",IF(OR(ISNUMBER(SEARCH("狼",E498)),ISNUMBER(SEARCH("石像鬼",E498)),ISNUMBER(SEARCH("恶灵骑士",E498)),ISNUMBER(SEARCH("黑蝙蝠",E498)),ISNUMBER(SEARCH("血月使徒",E498))),"werewolves","villagers"))</f>
      </c>
      <c r="M498" s="0">
        <f>IF(F498="","",IF(ROUND(F498,2)=5,"win","loss"))</f>
      </c>
      <c r="N498" s="0" t="inlineStr">
        <is>
          <t xml:space="preserve"/>
        </is>
      </c>
      <c r="O498" s="0" t="inlineStr">
        <is>
          <t xml:space="preserve"/>
        </is>
      </c>
      <c r="P498" s="0" t="inlineStr">
        <is>
          <t xml:space="preserve"/>
        </is>
      </c>
      <c r="Q498" s="0" t="inlineStr">
        <is>
          <t xml:space="preserve"/>
        </is>
      </c>
      <c r="R498" s="0">
        <f>IF(D498="","",IFERROR(LOOKUP(2,1/(($D$2:$D$1001=D498)*($M$2:$M$1001="win")),$L$2:$L$1001),""))</f>
      </c>
      <c r="S498" s="0" t="inlineStr">
        <is>
          <t xml:space="preserve"/>
        </is>
      </c>
      <c r="T498" s="0" t="inlineStr">
        <is>
          <t xml:space="preserve"/>
        </is>
      </c>
      <c r="U498" s="0" t="inlineStr">
        <is>
          <t xml:space="preserve"/>
        </is>
      </c>
      <c r="V498" s="0" t="inlineStr">
        <is>
          <t xml:space="preserve"/>
        </is>
      </c>
      <c r="W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>
        <f>IF(E499="","",IF(OR(ISNUMBER(SEARCH("狼",E499)),ISNUMBER(SEARCH("石像鬼",E499)),ISNUMBER(SEARCH("恶灵骑士",E499)),ISNUMBER(SEARCH("黑蝙蝠",E499)),ISNUMBER(SEARCH("血月使徒",E499))),"werewolves","villagers"))</f>
      </c>
      <c r="M499" s="0">
        <f>IF(F499="","",IF(ROUND(F499,2)=5,"win","loss"))</f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>
        <f>IF(D499="","",IFERROR(LOOKUP(2,1/(($D$2:$D$1001=D499)*($M$2:$M$1001="win")),$L$2:$L$1001),""))</f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>
        <f>IF(E500="","",IF(OR(ISNUMBER(SEARCH("狼",E500)),ISNUMBER(SEARCH("石像鬼",E500)),ISNUMBER(SEARCH("恶灵骑士",E500)),ISNUMBER(SEARCH("黑蝙蝠",E500)),ISNUMBER(SEARCH("血月使徒",E500))),"werewolves","villagers"))</f>
      </c>
      <c r="M500" s="0">
        <f>IF(F500="","",IF(ROUND(F500,2)=5,"win","loss"))</f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>
        <f>IF(D500="","",IFERROR(LOOKUP(2,1/(($D$2:$D$1001=D500)*($M$2:$M$1001="win")),$L$2:$L$1001),""))</f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>
        <f>IF(E501="","",IF(OR(ISNUMBER(SEARCH("狼",E501)),ISNUMBER(SEARCH("石像鬼",E501)),ISNUMBER(SEARCH("恶灵骑士",E501)),ISNUMBER(SEARCH("黑蝙蝠",E501)),ISNUMBER(SEARCH("血月使徒",E501))),"werewolves","villagers"))</f>
      </c>
      <c r="M501" s="0">
        <f>IF(F501="","",IF(ROUND(F501,2)=5,"win","loss"))</f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>
        <f>IF(D501="","",IFERROR(LOOKUP(2,1/(($D$2:$D$1001=D501)*($M$2:$M$1001="win")),$L$2:$L$1001),""))</f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 t="inlineStr">
        <is>
          <t xml:space="preserve"/>
        </is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>
        <f>IF(E502="","",IF(OR(ISNUMBER(SEARCH("狼",E502)),ISNUMBER(SEARCH("石像鬼",E502)),ISNUMBER(SEARCH("恶灵骑士",E502)),ISNUMBER(SEARCH("黑蝙蝠",E502)),ISNUMBER(SEARCH("血月使徒",E502))),"werewolves","villagers"))</f>
      </c>
      <c r="M502" s="0">
        <f>IF(F502="","",IF(ROUND(F502,2)=5,"win","loss"))</f>
      </c>
      <c r="N502" s="0" t="inlineStr">
        <is>
          <t xml:space="preserve"/>
        </is>
      </c>
      <c r="O502" s="0" t="inlineStr">
        <is>
          <t xml:space="preserve"/>
        </is>
      </c>
      <c r="P502" s="0" t="inlineStr">
        <is>
          <t xml:space="preserve"/>
        </is>
      </c>
      <c r="Q502" s="0" t="inlineStr">
        <is>
          <t xml:space="preserve"/>
        </is>
      </c>
      <c r="R502" s="0">
        <f>IF(D502="","",IFERROR(LOOKUP(2,1/(($D$2:$D$1001=D502)*($M$2:$M$1001="win")),$L$2:$L$1001),""))</f>
      </c>
      <c r="S502" s="0" t="inlineStr">
        <is>
          <t xml:space="preserve"/>
        </is>
      </c>
      <c r="T502" s="0" t="inlineStr">
        <is>
          <t xml:space="preserve"/>
        </is>
      </c>
      <c r="U502" s="0" t="inlineStr">
        <is>
          <t xml:space="preserve"/>
        </is>
      </c>
      <c r="V502" s="0" t="inlineStr">
        <is>
          <t xml:space="preserve"/>
        </is>
      </c>
      <c r="W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>
        <f>IF(E503="","",IF(OR(ISNUMBER(SEARCH("狼",E503)),ISNUMBER(SEARCH("石像鬼",E503)),ISNUMBER(SEARCH("恶灵骑士",E503)),ISNUMBER(SEARCH("黑蝙蝠",E503)),ISNUMBER(SEARCH("血月使徒",E503))),"werewolves","villagers"))</f>
      </c>
      <c r="M503" s="0">
        <f>IF(F503="","",IF(ROUND(F503,2)=5,"win","loss"))</f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>
        <f>IF(D503="","",IFERROR(LOOKUP(2,1/(($D$2:$D$1001=D503)*($M$2:$M$1001="win")),$L$2:$L$1001),""))</f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>
        <f>IF(E504="","",IF(OR(ISNUMBER(SEARCH("狼",E504)),ISNUMBER(SEARCH("石像鬼",E504)),ISNUMBER(SEARCH("恶灵骑士",E504)),ISNUMBER(SEARCH("黑蝙蝠",E504)),ISNUMBER(SEARCH("血月使徒",E504))),"werewolves","villagers"))</f>
      </c>
      <c r="M504" s="0">
        <f>IF(F504="","",IF(ROUND(F504,2)=5,"win","loss"))</f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>
        <f>IF(D504="","",IFERROR(LOOKUP(2,1/(($D$2:$D$1001=D504)*($M$2:$M$1001="win")),$L$2:$L$1001),""))</f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 t="inlineStr">
        <is>
          <t xml:space="preserve"/>
        </is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>
        <f>IF(E505="","",IF(OR(ISNUMBER(SEARCH("狼",E505)),ISNUMBER(SEARCH("石像鬼",E505)),ISNUMBER(SEARCH("恶灵骑士",E505)),ISNUMBER(SEARCH("黑蝙蝠",E505)),ISNUMBER(SEARCH("血月使徒",E505))),"werewolves","villagers"))</f>
      </c>
      <c r="M505" s="0">
        <f>IF(F505="","",IF(ROUND(F505,2)=5,"win","loss"))</f>
      </c>
      <c r="N505" s="0" t="inlineStr">
        <is>
          <t xml:space="preserve"/>
        </is>
      </c>
      <c r="O505" s="0" t="inlineStr">
        <is>
          <t xml:space="preserve"/>
        </is>
      </c>
      <c r="P505" s="0" t="inlineStr">
        <is>
          <t xml:space="preserve"/>
        </is>
      </c>
      <c r="Q505" s="0" t="inlineStr">
        <is>
          <t xml:space="preserve"/>
        </is>
      </c>
      <c r="R505" s="0">
        <f>IF(D505="","",IFERROR(LOOKUP(2,1/(($D$2:$D$1001=D505)*($M$2:$M$1001="win")),$L$2:$L$1001),""))</f>
      </c>
      <c r="S505" s="0" t="inlineStr">
        <is>
          <t xml:space="preserve"/>
        </is>
      </c>
      <c r="T505" s="0" t="inlineStr">
        <is>
          <t xml:space="preserve"/>
        </is>
      </c>
      <c r="U505" s="0" t="inlineStr">
        <is>
          <t xml:space="preserve"/>
        </is>
      </c>
      <c r="V505" s="0" t="inlineStr">
        <is>
          <t xml:space="preserve"/>
        </is>
      </c>
      <c r="W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>
        <f>IF(E506="","",IF(OR(ISNUMBER(SEARCH("狼",E506)),ISNUMBER(SEARCH("石像鬼",E506)),ISNUMBER(SEARCH("恶灵骑士",E506)),ISNUMBER(SEARCH("黑蝙蝠",E506)),ISNUMBER(SEARCH("血月使徒",E506))),"werewolves","villagers"))</f>
      </c>
      <c r="M506" s="0">
        <f>IF(F506="","",IF(ROUND(F506,2)=5,"win","loss"))</f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>
        <f>IF(D506="","",IFERROR(LOOKUP(2,1/(($D$2:$D$1001=D506)*($M$2:$M$1001="win")),$L$2:$L$1001),""))</f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>
        <f>IF(E507="","",IF(OR(ISNUMBER(SEARCH("狼",E507)),ISNUMBER(SEARCH("石像鬼",E507)),ISNUMBER(SEARCH("恶灵骑士",E507)),ISNUMBER(SEARCH("黑蝙蝠",E507)),ISNUMBER(SEARCH("血月使徒",E507))),"werewolves","villagers"))</f>
      </c>
      <c r="M507" s="0">
        <f>IF(F507="","",IF(ROUND(F507,2)=5,"win","loss"))</f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>
        <f>IF(D507="","",IFERROR(LOOKUP(2,1/(($D$2:$D$1001=D507)*($M$2:$M$1001="win")),$L$2:$L$1001),""))</f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>
        <f>IF(E508="","",IF(OR(ISNUMBER(SEARCH("狼",E508)),ISNUMBER(SEARCH("石像鬼",E508)),ISNUMBER(SEARCH("恶灵骑士",E508)),ISNUMBER(SEARCH("黑蝙蝠",E508)),ISNUMBER(SEARCH("血月使徒",E508))),"werewolves","villagers"))</f>
      </c>
      <c r="M508" s="0">
        <f>IF(F508="","",IF(ROUND(F508,2)=5,"win","loss"))</f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>
        <f>IF(D508="","",IFERROR(LOOKUP(2,1/(($D$2:$D$1001=D508)*($M$2:$M$1001="win")),$L$2:$L$1001),""))</f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 t="inlineStr">
        <is>
          <t xml:space="preserve"/>
        </is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>
        <f>IF(E509="","",IF(OR(ISNUMBER(SEARCH("狼",E509)),ISNUMBER(SEARCH("石像鬼",E509)),ISNUMBER(SEARCH("恶灵骑士",E509)),ISNUMBER(SEARCH("黑蝙蝠",E509)),ISNUMBER(SEARCH("血月使徒",E509))),"werewolves","villagers"))</f>
      </c>
      <c r="M509" s="0">
        <f>IF(F509="","",IF(ROUND(F509,2)=5,"win","loss"))</f>
      </c>
      <c r="N509" s="0" t="inlineStr">
        <is>
          <t xml:space="preserve"/>
        </is>
      </c>
      <c r="O509" s="0" t="inlineStr">
        <is>
          <t xml:space="preserve"/>
        </is>
      </c>
      <c r="P509" s="0" t="inlineStr">
        <is>
          <t xml:space="preserve"/>
        </is>
      </c>
      <c r="Q509" s="0" t="inlineStr">
        <is>
          <t xml:space="preserve"/>
        </is>
      </c>
      <c r="R509" s="0">
        <f>IF(D509="","",IFERROR(LOOKUP(2,1/(($D$2:$D$1001=D509)*($M$2:$M$1001="win")),$L$2:$L$1001),""))</f>
      </c>
      <c r="S509" s="0" t="inlineStr">
        <is>
          <t xml:space="preserve"/>
        </is>
      </c>
      <c r="T509" s="0" t="inlineStr">
        <is>
          <t xml:space="preserve"/>
        </is>
      </c>
      <c r="U509" s="0" t="inlineStr">
        <is>
          <t xml:space="preserve"/>
        </is>
      </c>
      <c r="V509" s="0" t="inlineStr">
        <is>
          <t xml:space="preserve"/>
        </is>
      </c>
      <c r="W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>
        <f>IF(E510="","",IF(OR(ISNUMBER(SEARCH("狼",E510)),ISNUMBER(SEARCH("石像鬼",E510)),ISNUMBER(SEARCH("恶灵骑士",E510)),ISNUMBER(SEARCH("黑蝙蝠",E510)),ISNUMBER(SEARCH("血月使徒",E510))),"werewolves","villagers"))</f>
      </c>
      <c r="M510" s="0">
        <f>IF(F510="","",IF(ROUND(F510,2)=5,"win","loss"))</f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>
        <f>IF(D510="","",IFERROR(LOOKUP(2,1/(($D$2:$D$1001=D510)*($M$2:$M$1001="win")),$L$2:$L$1001),""))</f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>
        <f>IF(E511="","",IF(OR(ISNUMBER(SEARCH("狼",E511)),ISNUMBER(SEARCH("石像鬼",E511)),ISNUMBER(SEARCH("恶灵骑士",E511)),ISNUMBER(SEARCH("黑蝙蝠",E511)),ISNUMBER(SEARCH("血月使徒",E511))),"werewolves","villagers"))</f>
      </c>
      <c r="M511" s="0">
        <f>IF(F511="","",IF(ROUND(F511,2)=5,"win","loss"))</f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>
        <f>IF(D511="","",IFERROR(LOOKUP(2,1/(($D$2:$D$1001=D511)*($M$2:$M$1001="win")),$L$2:$L$1001),""))</f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 t="inlineStr">
        <is>
          <t xml:space="preserve"/>
        </is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>
        <f>IF(E512="","",IF(OR(ISNUMBER(SEARCH("狼",E512)),ISNUMBER(SEARCH("石像鬼",E512)),ISNUMBER(SEARCH("恶灵骑士",E512)),ISNUMBER(SEARCH("黑蝙蝠",E512)),ISNUMBER(SEARCH("血月使徒",E512))),"werewolves","villagers"))</f>
      </c>
      <c r="M512" s="0">
        <f>IF(F512="","",IF(ROUND(F512,2)=5,"win","loss"))</f>
      </c>
      <c r="N512" s="0" t="inlineStr">
        <is>
          <t xml:space="preserve"/>
        </is>
      </c>
      <c r="O512" s="0" t="inlineStr">
        <is>
          <t xml:space="preserve"/>
        </is>
      </c>
      <c r="P512" s="0" t="inlineStr">
        <is>
          <t xml:space="preserve"/>
        </is>
      </c>
      <c r="Q512" s="0" t="inlineStr">
        <is>
          <t xml:space="preserve"/>
        </is>
      </c>
      <c r="R512" s="0">
        <f>IF(D512="","",IFERROR(LOOKUP(2,1/(($D$2:$D$1001=D512)*($M$2:$M$1001="win")),$L$2:$L$1001),""))</f>
      </c>
      <c r="S512" s="0" t="inlineStr">
        <is>
          <t xml:space="preserve"/>
        </is>
      </c>
      <c r="T512" s="0" t="inlineStr">
        <is>
          <t xml:space="preserve"/>
        </is>
      </c>
      <c r="U512" s="0" t="inlineStr">
        <is>
          <t xml:space="preserve"/>
        </is>
      </c>
      <c r="V512" s="0" t="inlineStr">
        <is>
          <t xml:space="preserve"/>
        </is>
      </c>
      <c r="W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 t="inlineStr">
        <is>
          <t xml:space="preserve"/>
        </is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>
        <f>IF(E513="","",IF(OR(ISNUMBER(SEARCH("狼",E513)),ISNUMBER(SEARCH("石像鬼",E513)),ISNUMBER(SEARCH("恶灵骑士",E513)),ISNUMBER(SEARCH("黑蝙蝠",E513)),ISNUMBER(SEARCH("血月使徒",E513))),"werewolves","villagers"))</f>
      </c>
      <c r="M513" s="0">
        <f>IF(F513="","",IF(ROUND(F513,2)=5,"win","loss"))</f>
      </c>
      <c r="N513" s="0" t="inlineStr">
        <is>
          <t xml:space="preserve"/>
        </is>
      </c>
      <c r="O513" s="0" t="inlineStr">
        <is>
          <t xml:space="preserve"/>
        </is>
      </c>
      <c r="P513" s="0" t="inlineStr">
        <is>
          <t xml:space="preserve"/>
        </is>
      </c>
      <c r="Q513" s="0" t="inlineStr">
        <is>
          <t xml:space="preserve"/>
        </is>
      </c>
      <c r="R513" s="0">
        <f>IF(D513="","",IFERROR(LOOKUP(2,1/(($D$2:$D$1001=D513)*($M$2:$M$1001="win")),$L$2:$L$1001),""))</f>
      </c>
      <c r="S513" s="0" t="inlineStr">
        <is>
          <t xml:space="preserve"/>
        </is>
      </c>
      <c r="T513" s="0" t="inlineStr">
        <is>
          <t xml:space="preserve"/>
        </is>
      </c>
      <c r="U513" s="0" t="inlineStr">
        <is>
          <t xml:space="preserve"/>
        </is>
      </c>
      <c r="V513" s="0" t="inlineStr">
        <is>
          <t xml:space="preserve"/>
        </is>
      </c>
      <c r="W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 t="inlineStr">
        <is>
          <t xml:space="preserve"/>
        </is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>
        <f>IF(E514="","",IF(OR(ISNUMBER(SEARCH("狼",E514)),ISNUMBER(SEARCH("石像鬼",E514)),ISNUMBER(SEARCH("恶灵骑士",E514)),ISNUMBER(SEARCH("黑蝙蝠",E514)),ISNUMBER(SEARCH("血月使徒",E514))),"werewolves","villagers"))</f>
      </c>
      <c r="M514" s="0">
        <f>IF(F514="","",IF(ROUND(F514,2)=5,"win","loss"))</f>
      </c>
      <c r="N514" s="0" t="inlineStr">
        <is>
          <t xml:space="preserve"/>
        </is>
      </c>
      <c r="O514" s="0" t="inlineStr">
        <is>
          <t xml:space="preserve"/>
        </is>
      </c>
      <c r="P514" s="0" t="inlineStr">
        <is>
          <t xml:space="preserve"/>
        </is>
      </c>
      <c r="Q514" s="0" t="inlineStr">
        <is>
          <t xml:space="preserve"/>
        </is>
      </c>
      <c r="R514" s="0">
        <f>IF(D514="","",IFERROR(LOOKUP(2,1/(($D$2:$D$1001=D514)*($M$2:$M$1001="win")),$L$2:$L$1001),""))</f>
      </c>
      <c r="S514" s="0" t="inlineStr">
        <is>
          <t xml:space="preserve"/>
        </is>
      </c>
      <c r="T514" s="0" t="inlineStr">
        <is>
          <t xml:space="preserve"/>
        </is>
      </c>
      <c r="U514" s="0" t="inlineStr">
        <is>
          <t xml:space="preserve"/>
        </is>
      </c>
      <c r="V514" s="0" t="inlineStr">
        <is>
          <t xml:space="preserve"/>
        </is>
      </c>
      <c r="W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>
        <f>IF(E515="","",IF(OR(ISNUMBER(SEARCH("狼",E515)),ISNUMBER(SEARCH("石像鬼",E515)),ISNUMBER(SEARCH("恶灵骑士",E515)),ISNUMBER(SEARCH("黑蝙蝠",E515)),ISNUMBER(SEARCH("血月使徒",E515))),"werewolves","villagers"))</f>
      </c>
      <c r="M515" s="0">
        <f>IF(F515="","",IF(ROUND(F515,2)=5,"win","loss"))</f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>
        <f>IF(D515="","",IFERROR(LOOKUP(2,1/(($D$2:$D$1001=D515)*($M$2:$M$1001="win")),$L$2:$L$1001),""))</f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>
        <f>IF(E516="","",IF(OR(ISNUMBER(SEARCH("狼",E516)),ISNUMBER(SEARCH("石像鬼",E516)),ISNUMBER(SEARCH("恶灵骑士",E516)),ISNUMBER(SEARCH("黑蝙蝠",E516)),ISNUMBER(SEARCH("血月使徒",E516))),"werewolves","villagers"))</f>
      </c>
      <c r="M516" s="0">
        <f>IF(F516="","",IF(ROUND(F516,2)=5,"win","loss"))</f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>
        <f>IF(D516="","",IFERROR(LOOKUP(2,1/(($D$2:$D$1001=D516)*($M$2:$M$1001="win")),$L$2:$L$1001),""))</f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 t="inlineStr">
        <is>
          <t xml:space="preserve"/>
        </is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>
        <f>IF(E517="","",IF(OR(ISNUMBER(SEARCH("狼",E517)),ISNUMBER(SEARCH("石像鬼",E517)),ISNUMBER(SEARCH("恶灵骑士",E517)),ISNUMBER(SEARCH("黑蝙蝠",E517)),ISNUMBER(SEARCH("血月使徒",E517))),"werewolves","villagers"))</f>
      </c>
      <c r="M517" s="0">
        <f>IF(F517="","",IF(ROUND(F517,2)=5,"win","loss"))</f>
      </c>
      <c r="N517" s="0" t="inlineStr">
        <is>
          <t xml:space="preserve"/>
        </is>
      </c>
      <c r="O517" s="0" t="inlineStr">
        <is>
          <t xml:space="preserve"/>
        </is>
      </c>
      <c r="P517" s="0" t="inlineStr">
        <is>
          <t xml:space="preserve"/>
        </is>
      </c>
      <c r="Q517" s="0" t="inlineStr">
        <is>
          <t xml:space="preserve"/>
        </is>
      </c>
      <c r="R517" s="0">
        <f>IF(D517="","",IFERROR(LOOKUP(2,1/(($D$2:$D$1001=D517)*($M$2:$M$1001="win")),$L$2:$L$1001),""))</f>
      </c>
      <c r="S517" s="0" t="inlineStr">
        <is>
          <t xml:space="preserve"/>
        </is>
      </c>
      <c r="T517" s="0" t="inlineStr">
        <is>
          <t xml:space="preserve"/>
        </is>
      </c>
      <c r="U517" s="0" t="inlineStr">
        <is>
          <t xml:space="preserve"/>
        </is>
      </c>
      <c r="V517" s="0" t="inlineStr">
        <is>
          <t xml:space="preserve"/>
        </is>
      </c>
      <c r="W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 t="inlineStr">
        <is>
          <t xml:space="preserve"/>
        </is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>
        <f>IF(E518="","",IF(OR(ISNUMBER(SEARCH("狼",E518)),ISNUMBER(SEARCH("石像鬼",E518)),ISNUMBER(SEARCH("恶灵骑士",E518)),ISNUMBER(SEARCH("黑蝙蝠",E518)),ISNUMBER(SEARCH("血月使徒",E518))),"werewolves","villagers"))</f>
      </c>
      <c r="M518" s="0">
        <f>IF(F518="","",IF(ROUND(F518,2)=5,"win","loss"))</f>
      </c>
      <c r="N518" s="0" t="inlineStr">
        <is>
          <t xml:space="preserve"/>
        </is>
      </c>
      <c r="O518" s="0" t="inlineStr">
        <is>
          <t xml:space="preserve"/>
        </is>
      </c>
      <c r="P518" s="0" t="inlineStr">
        <is>
          <t xml:space="preserve"/>
        </is>
      </c>
      <c r="Q518" s="0" t="inlineStr">
        <is>
          <t xml:space="preserve"/>
        </is>
      </c>
      <c r="R518" s="0">
        <f>IF(D518="","",IFERROR(LOOKUP(2,1/(($D$2:$D$1001=D518)*($M$2:$M$1001="win")),$L$2:$L$1001),""))</f>
      </c>
      <c r="S518" s="0" t="inlineStr">
        <is>
          <t xml:space="preserve"/>
        </is>
      </c>
      <c r="T518" s="0" t="inlineStr">
        <is>
          <t xml:space="preserve"/>
        </is>
      </c>
      <c r="U518" s="0" t="inlineStr">
        <is>
          <t xml:space="preserve"/>
        </is>
      </c>
      <c r="V518" s="0" t="inlineStr">
        <is>
          <t xml:space="preserve"/>
        </is>
      </c>
      <c r="W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>
        <f>IF(E519="","",IF(OR(ISNUMBER(SEARCH("狼",E519)),ISNUMBER(SEARCH("石像鬼",E519)),ISNUMBER(SEARCH("恶灵骑士",E519)),ISNUMBER(SEARCH("黑蝙蝠",E519)),ISNUMBER(SEARCH("血月使徒",E519))),"werewolves","villagers"))</f>
      </c>
      <c r="M519" s="0">
        <f>IF(F519="","",IF(ROUND(F519,2)=5,"win","loss"))</f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>
        <f>IF(D519="","",IFERROR(LOOKUP(2,1/(($D$2:$D$1001=D519)*($M$2:$M$1001="win")),$L$2:$L$1001),""))</f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>
        <f>IF(E520="","",IF(OR(ISNUMBER(SEARCH("狼",E520)),ISNUMBER(SEARCH("石像鬼",E520)),ISNUMBER(SEARCH("恶灵骑士",E520)),ISNUMBER(SEARCH("黑蝙蝠",E520)),ISNUMBER(SEARCH("血月使徒",E520))),"werewolves","villagers"))</f>
      </c>
      <c r="M520" s="0">
        <f>IF(F520="","",IF(ROUND(F520,2)=5,"win","loss"))</f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>
        <f>IF(D520="","",IFERROR(LOOKUP(2,1/(($D$2:$D$1001=D520)*($M$2:$M$1001="win")),$L$2:$L$1001),""))</f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>
        <f>IF(E521="","",IF(OR(ISNUMBER(SEARCH("狼",E521)),ISNUMBER(SEARCH("石像鬼",E521)),ISNUMBER(SEARCH("恶灵骑士",E521)),ISNUMBER(SEARCH("黑蝙蝠",E521)),ISNUMBER(SEARCH("血月使徒",E521))),"werewolves","villagers"))</f>
      </c>
      <c r="M521" s="0">
        <f>IF(F521="","",IF(ROUND(F521,2)=5,"win","loss"))</f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>
        <f>IF(D521="","",IFERROR(LOOKUP(2,1/(($D$2:$D$1001=D521)*($M$2:$M$1001="win")),$L$2:$L$1001),""))</f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 t="inlineStr">
        <is>
          <t xml:space="preserve"/>
        </is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>
        <f>IF(E522="","",IF(OR(ISNUMBER(SEARCH("狼",E522)),ISNUMBER(SEARCH("石像鬼",E522)),ISNUMBER(SEARCH("恶灵骑士",E522)),ISNUMBER(SEARCH("黑蝙蝠",E522)),ISNUMBER(SEARCH("血月使徒",E522))),"werewolves","villagers"))</f>
      </c>
      <c r="M522" s="0">
        <f>IF(F522="","",IF(ROUND(F522,2)=5,"win","loss"))</f>
      </c>
      <c r="N522" s="0" t="inlineStr">
        <is>
          <t xml:space="preserve"/>
        </is>
      </c>
      <c r="O522" s="0" t="inlineStr">
        <is>
          <t xml:space="preserve"/>
        </is>
      </c>
      <c r="P522" s="0" t="inlineStr">
        <is>
          <t xml:space="preserve"/>
        </is>
      </c>
      <c r="Q522" s="0" t="inlineStr">
        <is>
          <t xml:space="preserve"/>
        </is>
      </c>
      <c r="R522" s="0">
        <f>IF(D522="","",IFERROR(LOOKUP(2,1/(($D$2:$D$1001=D522)*($M$2:$M$1001="win")),$L$2:$L$1001),""))</f>
      </c>
      <c r="S522" s="0" t="inlineStr">
        <is>
          <t xml:space="preserve"/>
        </is>
      </c>
      <c r="T522" s="0" t="inlineStr">
        <is>
          <t xml:space="preserve"/>
        </is>
      </c>
      <c r="U522" s="0" t="inlineStr">
        <is>
          <t xml:space="preserve"/>
        </is>
      </c>
      <c r="V522" s="0" t="inlineStr">
        <is>
          <t xml:space="preserve"/>
        </is>
      </c>
      <c r="W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>
        <f>IF(E523="","",IF(OR(ISNUMBER(SEARCH("狼",E523)),ISNUMBER(SEARCH("石像鬼",E523)),ISNUMBER(SEARCH("恶灵骑士",E523)),ISNUMBER(SEARCH("黑蝙蝠",E523)),ISNUMBER(SEARCH("血月使徒",E523))),"werewolves","villagers"))</f>
      </c>
      <c r="M523" s="0">
        <f>IF(F523="","",IF(ROUND(F523,2)=5,"win","loss"))</f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>
        <f>IF(D523="","",IFERROR(LOOKUP(2,1/(($D$2:$D$1001=D523)*($M$2:$M$1001="win")),$L$2:$L$1001),""))</f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>
        <f>IF(E524="","",IF(OR(ISNUMBER(SEARCH("狼",E524)),ISNUMBER(SEARCH("石像鬼",E524)),ISNUMBER(SEARCH("恶灵骑士",E524)),ISNUMBER(SEARCH("黑蝙蝠",E524)),ISNUMBER(SEARCH("血月使徒",E524))),"werewolves","villagers"))</f>
      </c>
      <c r="M524" s="0">
        <f>IF(F524="","",IF(ROUND(F524,2)=5,"win","loss"))</f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>
        <f>IF(D524="","",IFERROR(LOOKUP(2,1/(($D$2:$D$1001=D524)*($M$2:$M$1001="win")),$L$2:$L$1001),""))</f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 t="inlineStr">
        <is>
          <t xml:space="preserve"/>
        </is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>
        <f>IF(E525="","",IF(OR(ISNUMBER(SEARCH("狼",E525)),ISNUMBER(SEARCH("石像鬼",E525)),ISNUMBER(SEARCH("恶灵骑士",E525)),ISNUMBER(SEARCH("黑蝙蝠",E525)),ISNUMBER(SEARCH("血月使徒",E525))),"werewolves","villagers"))</f>
      </c>
      <c r="M525" s="0">
        <f>IF(F525="","",IF(ROUND(F525,2)=5,"win","loss"))</f>
      </c>
      <c r="N525" s="0" t="inlineStr">
        <is>
          <t xml:space="preserve"/>
        </is>
      </c>
      <c r="O525" s="0" t="inlineStr">
        <is>
          <t xml:space="preserve"/>
        </is>
      </c>
      <c r="P525" s="0" t="inlineStr">
        <is>
          <t xml:space="preserve"/>
        </is>
      </c>
      <c r="Q525" s="0" t="inlineStr">
        <is>
          <t xml:space="preserve"/>
        </is>
      </c>
      <c r="R525" s="0">
        <f>IF(D525="","",IFERROR(LOOKUP(2,1/(($D$2:$D$1001=D525)*($M$2:$M$1001="win")),$L$2:$L$1001),""))</f>
      </c>
      <c r="S525" s="0" t="inlineStr">
        <is>
          <t xml:space="preserve"/>
        </is>
      </c>
      <c r="T525" s="0" t="inlineStr">
        <is>
          <t xml:space="preserve"/>
        </is>
      </c>
      <c r="U525" s="0" t="inlineStr">
        <is>
          <t xml:space="preserve"/>
        </is>
      </c>
      <c r="V525" s="0" t="inlineStr">
        <is>
          <t xml:space="preserve"/>
        </is>
      </c>
      <c r="W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 t="inlineStr">
        <is>
          <t xml:space="preserve"/>
        </is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>
        <f>IF(E526="","",IF(OR(ISNUMBER(SEARCH("狼",E526)),ISNUMBER(SEARCH("石像鬼",E526)),ISNUMBER(SEARCH("恶灵骑士",E526)),ISNUMBER(SEARCH("黑蝙蝠",E526)),ISNUMBER(SEARCH("血月使徒",E526))),"werewolves","villagers"))</f>
      </c>
      <c r="M526" s="0">
        <f>IF(F526="","",IF(ROUND(F526,2)=5,"win","loss"))</f>
      </c>
      <c r="N526" s="0" t="inlineStr">
        <is>
          <t xml:space="preserve"/>
        </is>
      </c>
      <c r="O526" s="0" t="inlineStr">
        <is>
          <t xml:space="preserve"/>
        </is>
      </c>
      <c r="P526" s="0" t="inlineStr">
        <is>
          <t xml:space="preserve"/>
        </is>
      </c>
      <c r="Q526" s="0" t="inlineStr">
        <is>
          <t xml:space="preserve"/>
        </is>
      </c>
      <c r="R526" s="0">
        <f>IF(D526="","",IFERROR(LOOKUP(2,1/(($D$2:$D$1001=D526)*($M$2:$M$1001="win")),$L$2:$L$1001),""))</f>
      </c>
      <c r="S526" s="0" t="inlineStr">
        <is>
          <t xml:space="preserve"/>
        </is>
      </c>
      <c r="T526" s="0" t="inlineStr">
        <is>
          <t xml:space="preserve"/>
        </is>
      </c>
      <c r="U526" s="0" t="inlineStr">
        <is>
          <t xml:space="preserve"/>
        </is>
      </c>
      <c r="V526" s="0" t="inlineStr">
        <is>
          <t xml:space="preserve"/>
        </is>
      </c>
      <c r="W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>
        <f>IF(E527="","",IF(OR(ISNUMBER(SEARCH("狼",E527)),ISNUMBER(SEARCH("石像鬼",E527)),ISNUMBER(SEARCH("恶灵骑士",E527)),ISNUMBER(SEARCH("黑蝙蝠",E527)),ISNUMBER(SEARCH("血月使徒",E527))),"werewolves","villagers"))</f>
      </c>
      <c r="M527" s="0">
        <f>IF(F527="","",IF(ROUND(F527,2)=5,"win","loss"))</f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>
        <f>IF(D527="","",IFERROR(LOOKUP(2,1/(($D$2:$D$1001=D527)*($M$2:$M$1001="win")),$L$2:$L$1001),""))</f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 t="inlineStr">
        <is>
          <t xml:space="preserve"/>
        </is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>
        <f>IF(E528="","",IF(OR(ISNUMBER(SEARCH("狼",E528)),ISNUMBER(SEARCH("石像鬼",E528)),ISNUMBER(SEARCH("恶灵骑士",E528)),ISNUMBER(SEARCH("黑蝙蝠",E528)),ISNUMBER(SEARCH("血月使徒",E528))),"werewolves","villagers"))</f>
      </c>
      <c r="M528" s="0">
        <f>IF(F528="","",IF(ROUND(F528,2)=5,"win","loss"))</f>
      </c>
      <c r="N528" s="0" t="inlineStr">
        <is>
          <t xml:space="preserve"/>
        </is>
      </c>
      <c r="O528" s="0" t="inlineStr">
        <is>
          <t xml:space="preserve"/>
        </is>
      </c>
      <c r="P528" s="0" t="inlineStr">
        <is>
          <t xml:space="preserve"/>
        </is>
      </c>
      <c r="Q528" s="0" t="inlineStr">
        <is>
          <t xml:space="preserve"/>
        </is>
      </c>
      <c r="R528" s="0">
        <f>IF(D528="","",IFERROR(LOOKUP(2,1/(($D$2:$D$1001=D528)*($M$2:$M$1001="win")),$L$2:$L$1001),""))</f>
      </c>
      <c r="S528" s="0" t="inlineStr">
        <is>
          <t xml:space="preserve"/>
        </is>
      </c>
      <c r="T528" s="0" t="inlineStr">
        <is>
          <t xml:space="preserve"/>
        </is>
      </c>
      <c r="U528" s="0" t="inlineStr">
        <is>
          <t xml:space="preserve"/>
        </is>
      </c>
      <c r="V528" s="0" t="inlineStr">
        <is>
          <t xml:space="preserve"/>
        </is>
      </c>
      <c r="W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>
        <f>IF(E529="","",IF(OR(ISNUMBER(SEARCH("狼",E529)),ISNUMBER(SEARCH("石像鬼",E529)),ISNUMBER(SEARCH("恶灵骑士",E529)),ISNUMBER(SEARCH("黑蝙蝠",E529)),ISNUMBER(SEARCH("血月使徒",E529))),"werewolves","villagers"))</f>
      </c>
      <c r="M529" s="0">
        <f>IF(F529="","",IF(ROUND(F529,2)=5,"win","loss"))</f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>
        <f>IF(D529="","",IFERROR(LOOKUP(2,1/(($D$2:$D$1001=D529)*($M$2:$M$1001="win")),$L$2:$L$1001),""))</f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>
        <f>IF(E530="","",IF(OR(ISNUMBER(SEARCH("狼",E530)),ISNUMBER(SEARCH("石像鬼",E530)),ISNUMBER(SEARCH("恶灵骑士",E530)),ISNUMBER(SEARCH("黑蝙蝠",E530)),ISNUMBER(SEARCH("血月使徒",E530))),"werewolves","villagers"))</f>
      </c>
      <c r="M530" s="0">
        <f>IF(F530="","",IF(ROUND(F530,2)=5,"win","loss"))</f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>
        <f>IF(D530="","",IFERROR(LOOKUP(2,1/(($D$2:$D$1001=D530)*($M$2:$M$1001="win")),$L$2:$L$1001),""))</f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>
        <f>IF(E531="","",IF(OR(ISNUMBER(SEARCH("狼",E531)),ISNUMBER(SEARCH("石像鬼",E531)),ISNUMBER(SEARCH("恶灵骑士",E531)),ISNUMBER(SEARCH("黑蝙蝠",E531)),ISNUMBER(SEARCH("血月使徒",E531))),"werewolves","villagers"))</f>
      </c>
      <c r="M531" s="0">
        <f>IF(F531="","",IF(ROUND(F531,2)=5,"win","loss"))</f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>
        <f>IF(D531="","",IFERROR(LOOKUP(2,1/(($D$2:$D$1001=D531)*($M$2:$M$1001="win")),$L$2:$L$1001),""))</f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>
        <f>IF(E532="","",IF(OR(ISNUMBER(SEARCH("狼",E532)),ISNUMBER(SEARCH("石像鬼",E532)),ISNUMBER(SEARCH("恶灵骑士",E532)),ISNUMBER(SEARCH("黑蝙蝠",E532)),ISNUMBER(SEARCH("血月使徒",E532))),"werewolves","villagers"))</f>
      </c>
      <c r="M532" s="0">
        <f>IF(F532="","",IF(ROUND(F532,2)=5,"win","loss"))</f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>
        <f>IF(D532="","",IFERROR(LOOKUP(2,1/(($D$2:$D$1001=D532)*($M$2:$M$1001="win")),$L$2:$L$1001),""))</f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 t="inlineStr">
        <is>
          <t xml:space="preserve"/>
        </is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>
        <f>IF(E533="","",IF(OR(ISNUMBER(SEARCH("狼",E533)),ISNUMBER(SEARCH("石像鬼",E533)),ISNUMBER(SEARCH("恶灵骑士",E533)),ISNUMBER(SEARCH("黑蝙蝠",E533)),ISNUMBER(SEARCH("血月使徒",E533))),"werewolves","villagers"))</f>
      </c>
      <c r="M533" s="0">
        <f>IF(F533="","",IF(ROUND(F533,2)=5,"win","loss"))</f>
      </c>
      <c r="N533" s="0" t="inlineStr">
        <is>
          <t xml:space="preserve"/>
        </is>
      </c>
      <c r="O533" s="0" t="inlineStr">
        <is>
          <t xml:space="preserve"/>
        </is>
      </c>
      <c r="P533" s="0" t="inlineStr">
        <is>
          <t xml:space="preserve"/>
        </is>
      </c>
      <c r="Q533" s="0" t="inlineStr">
        <is>
          <t xml:space="preserve"/>
        </is>
      </c>
      <c r="R533" s="0">
        <f>IF(D533="","",IFERROR(LOOKUP(2,1/(($D$2:$D$1001=D533)*($M$2:$M$1001="win")),$L$2:$L$1001),""))</f>
      </c>
      <c r="S533" s="0" t="inlineStr">
        <is>
          <t xml:space="preserve"/>
        </is>
      </c>
      <c r="T533" s="0" t="inlineStr">
        <is>
          <t xml:space="preserve"/>
        </is>
      </c>
      <c r="U533" s="0" t="inlineStr">
        <is>
          <t xml:space="preserve"/>
        </is>
      </c>
      <c r="V533" s="0" t="inlineStr">
        <is>
          <t xml:space="preserve"/>
        </is>
      </c>
      <c r="W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 t="inlineStr">
        <is>
          <t xml:space="preserve"/>
        </is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>
        <f>IF(E534="","",IF(OR(ISNUMBER(SEARCH("狼",E534)),ISNUMBER(SEARCH("石像鬼",E534)),ISNUMBER(SEARCH("恶灵骑士",E534)),ISNUMBER(SEARCH("黑蝙蝠",E534)),ISNUMBER(SEARCH("血月使徒",E534))),"werewolves","villagers"))</f>
      </c>
      <c r="M534" s="0">
        <f>IF(F534="","",IF(ROUND(F534,2)=5,"win","loss"))</f>
      </c>
      <c r="N534" s="0" t="inlineStr">
        <is>
          <t xml:space="preserve"/>
        </is>
      </c>
      <c r="O534" s="0" t="inlineStr">
        <is>
          <t xml:space="preserve"/>
        </is>
      </c>
      <c r="P534" s="0" t="inlineStr">
        <is>
          <t xml:space="preserve"/>
        </is>
      </c>
      <c r="Q534" s="0" t="inlineStr">
        <is>
          <t xml:space="preserve"/>
        </is>
      </c>
      <c r="R534" s="0">
        <f>IF(D534="","",IFERROR(LOOKUP(2,1/(($D$2:$D$1001=D534)*($M$2:$M$1001="win")),$L$2:$L$1001),""))</f>
      </c>
      <c r="S534" s="0" t="inlineStr">
        <is>
          <t xml:space="preserve"/>
        </is>
      </c>
      <c r="T534" s="0" t="inlineStr">
        <is>
          <t xml:space="preserve"/>
        </is>
      </c>
      <c r="U534" s="0" t="inlineStr">
        <is>
          <t xml:space="preserve"/>
        </is>
      </c>
      <c r="V534" s="0" t="inlineStr">
        <is>
          <t xml:space="preserve"/>
        </is>
      </c>
      <c r="W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>
        <f>IF(E535="","",IF(OR(ISNUMBER(SEARCH("狼",E535)),ISNUMBER(SEARCH("石像鬼",E535)),ISNUMBER(SEARCH("恶灵骑士",E535)),ISNUMBER(SEARCH("黑蝙蝠",E535)),ISNUMBER(SEARCH("血月使徒",E535))),"werewolves","villagers"))</f>
      </c>
      <c r="M535" s="0">
        <f>IF(F535="","",IF(ROUND(F535,2)=5,"win","loss"))</f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>
        <f>IF(D535="","",IFERROR(LOOKUP(2,1/(($D$2:$D$1001=D535)*($M$2:$M$1001="win")),$L$2:$L$1001),""))</f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 t="inlineStr">
        <is>
          <t xml:space="preserve"/>
        </is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>
        <f>IF(E536="","",IF(OR(ISNUMBER(SEARCH("狼",E536)),ISNUMBER(SEARCH("石像鬼",E536)),ISNUMBER(SEARCH("恶灵骑士",E536)),ISNUMBER(SEARCH("黑蝙蝠",E536)),ISNUMBER(SEARCH("血月使徒",E536))),"werewolves","villagers"))</f>
      </c>
      <c r="M536" s="0">
        <f>IF(F536="","",IF(ROUND(F536,2)=5,"win","loss"))</f>
      </c>
      <c r="N536" s="0" t="inlineStr">
        <is>
          <t xml:space="preserve"/>
        </is>
      </c>
      <c r="O536" s="0" t="inlineStr">
        <is>
          <t xml:space="preserve"/>
        </is>
      </c>
      <c r="P536" s="0" t="inlineStr">
        <is>
          <t xml:space="preserve"/>
        </is>
      </c>
      <c r="Q536" s="0" t="inlineStr">
        <is>
          <t xml:space="preserve"/>
        </is>
      </c>
      <c r="R536" s="0">
        <f>IF(D536="","",IFERROR(LOOKUP(2,1/(($D$2:$D$1001=D536)*($M$2:$M$1001="win")),$L$2:$L$1001),""))</f>
      </c>
      <c r="S536" s="0" t="inlineStr">
        <is>
          <t xml:space="preserve"/>
        </is>
      </c>
      <c r="T536" s="0" t="inlineStr">
        <is>
          <t xml:space="preserve"/>
        </is>
      </c>
      <c r="U536" s="0" t="inlineStr">
        <is>
          <t xml:space="preserve"/>
        </is>
      </c>
      <c r="V536" s="0" t="inlineStr">
        <is>
          <t xml:space="preserve"/>
        </is>
      </c>
      <c r="W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 t="inlineStr">
        <is>
          <t xml:space="preserve"/>
        </is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>
        <f>IF(E537="","",IF(OR(ISNUMBER(SEARCH("狼",E537)),ISNUMBER(SEARCH("石像鬼",E537)),ISNUMBER(SEARCH("恶灵骑士",E537)),ISNUMBER(SEARCH("黑蝙蝠",E537)),ISNUMBER(SEARCH("血月使徒",E537))),"werewolves","villagers"))</f>
      </c>
      <c r="M537" s="0">
        <f>IF(F537="","",IF(ROUND(F537,2)=5,"win","loss"))</f>
      </c>
      <c r="N537" s="0" t="inlineStr">
        <is>
          <t xml:space="preserve"/>
        </is>
      </c>
      <c r="O537" s="0" t="inlineStr">
        <is>
          <t xml:space="preserve"/>
        </is>
      </c>
      <c r="P537" s="0" t="inlineStr">
        <is>
          <t xml:space="preserve"/>
        </is>
      </c>
      <c r="Q537" s="0" t="inlineStr">
        <is>
          <t xml:space="preserve"/>
        </is>
      </c>
      <c r="R537" s="0">
        <f>IF(D537="","",IFERROR(LOOKUP(2,1/(($D$2:$D$1001=D537)*($M$2:$M$1001="win")),$L$2:$L$1001),""))</f>
      </c>
      <c r="S537" s="0" t="inlineStr">
        <is>
          <t xml:space="preserve"/>
        </is>
      </c>
      <c r="T537" s="0" t="inlineStr">
        <is>
          <t xml:space="preserve"/>
        </is>
      </c>
      <c r="U537" s="0" t="inlineStr">
        <is>
          <t xml:space="preserve"/>
        </is>
      </c>
      <c r="V537" s="0" t="inlineStr">
        <is>
          <t xml:space="preserve"/>
        </is>
      </c>
      <c r="W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>
        <f>IF(E538="","",IF(OR(ISNUMBER(SEARCH("狼",E538)),ISNUMBER(SEARCH("石像鬼",E538)),ISNUMBER(SEARCH("恶灵骑士",E538)),ISNUMBER(SEARCH("黑蝙蝠",E538)),ISNUMBER(SEARCH("血月使徒",E538))),"werewolves","villagers"))</f>
      </c>
      <c r="M538" s="0">
        <f>IF(F538="","",IF(ROUND(F538,2)=5,"win","loss"))</f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>
        <f>IF(D538="","",IFERROR(LOOKUP(2,1/(($D$2:$D$1001=D538)*($M$2:$M$1001="win")),$L$2:$L$1001),""))</f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 t="inlineStr">
        <is>
          <t xml:space="preserve"/>
        </is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>
        <f>IF(E539="","",IF(OR(ISNUMBER(SEARCH("狼",E539)),ISNUMBER(SEARCH("石像鬼",E539)),ISNUMBER(SEARCH("恶灵骑士",E539)),ISNUMBER(SEARCH("黑蝙蝠",E539)),ISNUMBER(SEARCH("血月使徒",E539))),"werewolves","villagers"))</f>
      </c>
      <c r="M539" s="0">
        <f>IF(F539="","",IF(ROUND(F539,2)=5,"win","loss"))</f>
      </c>
      <c r="N539" s="0" t="inlineStr">
        <is>
          <t xml:space="preserve"/>
        </is>
      </c>
      <c r="O539" s="0" t="inlineStr">
        <is>
          <t xml:space="preserve"/>
        </is>
      </c>
      <c r="P539" s="0" t="inlineStr">
        <is>
          <t xml:space="preserve"/>
        </is>
      </c>
      <c r="Q539" s="0" t="inlineStr">
        <is>
          <t xml:space="preserve"/>
        </is>
      </c>
      <c r="R539" s="0">
        <f>IF(D539="","",IFERROR(LOOKUP(2,1/(($D$2:$D$1001=D539)*($M$2:$M$1001="win")),$L$2:$L$1001),""))</f>
      </c>
      <c r="S539" s="0" t="inlineStr">
        <is>
          <t xml:space="preserve"/>
        </is>
      </c>
      <c r="T539" s="0" t="inlineStr">
        <is>
          <t xml:space="preserve"/>
        </is>
      </c>
      <c r="U539" s="0" t="inlineStr">
        <is>
          <t xml:space="preserve"/>
        </is>
      </c>
      <c r="V539" s="0" t="inlineStr">
        <is>
          <t xml:space="preserve"/>
        </is>
      </c>
      <c r="W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 t="inlineStr">
        <is>
          <t xml:space="preserve"/>
        </is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>
        <f>IF(E540="","",IF(OR(ISNUMBER(SEARCH("狼",E540)),ISNUMBER(SEARCH("石像鬼",E540)),ISNUMBER(SEARCH("恶灵骑士",E540)),ISNUMBER(SEARCH("黑蝙蝠",E540)),ISNUMBER(SEARCH("血月使徒",E540))),"werewolves","villagers"))</f>
      </c>
      <c r="M540" s="0">
        <f>IF(F540="","",IF(ROUND(F540,2)=5,"win","loss"))</f>
      </c>
      <c r="N540" s="0" t="inlineStr">
        <is>
          <t xml:space="preserve"/>
        </is>
      </c>
      <c r="O540" s="0" t="inlineStr">
        <is>
          <t xml:space="preserve"/>
        </is>
      </c>
      <c r="P540" s="0" t="inlineStr">
        <is>
          <t xml:space="preserve"/>
        </is>
      </c>
      <c r="Q540" s="0" t="inlineStr">
        <is>
          <t xml:space="preserve"/>
        </is>
      </c>
      <c r="R540" s="0">
        <f>IF(D540="","",IFERROR(LOOKUP(2,1/(($D$2:$D$1001=D540)*($M$2:$M$1001="win")),$L$2:$L$1001),""))</f>
      </c>
      <c r="S540" s="0" t="inlineStr">
        <is>
          <t xml:space="preserve"/>
        </is>
      </c>
      <c r="T540" s="0" t="inlineStr">
        <is>
          <t xml:space="preserve"/>
        </is>
      </c>
      <c r="U540" s="0" t="inlineStr">
        <is>
          <t xml:space="preserve"/>
        </is>
      </c>
      <c r="V540" s="0" t="inlineStr">
        <is>
          <t xml:space="preserve"/>
        </is>
      </c>
      <c r="W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 t="inlineStr">
        <is>
          <t xml:space="preserve"/>
        </is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>
        <f>IF(E541="","",IF(OR(ISNUMBER(SEARCH("狼",E541)),ISNUMBER(SEARCH("石像鬼",E541)),ISNUMBER(SEARCH("恶灵骑士",E541)),ISNUMBER(SEARCH("黑蝙蝠",E541)),ISNUMBER(SEARCH("血月使徒",E541))),"werewolves","villagers"))</f>
      </c>
      <c r="M541" s="0">
        <f>IF(F541="","",IF(ROUND(F541,2)=5,"win","loss"))</f>
      </c>
      <c r="N541" s="0" t="inlineStr">
        <is>
          <t xml:space="preserve"/>
        </is>
      </c>
      <c r="O541" s="0" t="inlineStr">
        <is>
          <t xml:space="preserve"/>
        </is>
      </c>
      <c r="P541" s="0" t="inlineStr">
        <is>
          <t xml:space="preserve"/>
        </is>
      </c>
      <c r="Q541" s="0" t="inlineStr">
        <is>
          <t xml:space="preserve"/>
        </is>
      </c>
      <c r="R541" s="0">
        <f>IF(D541="","",IFERROR(LOOKUP(2,1/(($D$2:$D$1001=D541)*($M$2:$M$1001="win")),$L$2:$L$1001),""))</f>
      </c>
      <c r="S541" s="0" t="inlineStr">
        <is>
          <t xml:space="preserve"/>
        </is>
      </c>
      <c r="T541" s="0" t="inlineStr">
        <is>
          <t xml:space="preserve"/>
        </is>
      </c>
      <c r="U541" s="0" t="inlineStr">
        <is>
          <t xml:space="preserve"/>
        </is>
      </c>
      <c r="V541" s="0" t="inlineStr">
        <is>
          <t xml:space="preserve"/>
        </is>
      </c>
      <c r="W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>
        <f>IF(E542="","",IF(OR(ISNUMBER(SEARCH("狼",E542)),ISNUMBER(SEARCH("石像鬼",E542)),ISNUMBER(SEARCH("恶灵骑士",E542)),ISNUMBER(SEARCH("黑蝙蝠",E542)),ISNUMBER(SEARCH("血月使徒",E542))),"werewolves","villagers"))</f>
      </c>
      <c r="M542" s="0">
        <f>IF(F542="","",IF(ROUND(F542,2)=5,"win","loss"))</f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>
        <f>IF(D542="","",IFERROR(LOOKUP(2,1/(($D$2:$D$1001=D542)*($M$2:$M$1001="win")),$L$2:$L$1001),""))</f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>
        <f>IF(E543="","",IF(OR(ISNUMBER(SEARCH("狼",E543)),ISNUMBER(SEARCH("石像鬼",E543)),ISNUMBER(SEARCH("恶灵骑士",E543)),ISNUMBER(SEARCH("黑蝙蝠",E543)),ISNUMBER(SEARCH("血月使徒",E543))),"werewolves","villagers"))</f>
      </c>
      <c r="M543" s="0">
        <f>IF(F543="","",IF(ROUND(F543,2)=5,"win","loss"))</f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>
        <f>IF(D543="","",IFERROR(LOOKUP(2,1/(($D$2:$D$1001=D543)*($M$2:$M$1001="win")),$L$2:$L$1001),""))</f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 t="inlineStr">
        <is>
          <t xml:space="preserve"/>
        </is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>
        <f>IF(E544="","",IF(OR(ISNUMBER(SEARCH("狼",E544)),ISNUMBER(SEARCH("石像鬼",E544)),ISNUMBER(SEARCH("恶灵骑士",E544)),ISNUMBER(SEARCH("黑蝙蝠",E544)),ISNUMBER(SEARCH("血月使徒",E544))),"werewolves","villagers"))</f>
      </c>
      <c r="M544" s="0">
        <f>IF(F544="","",IF(ROUND(F544,2)=5,"win","loss"))</f>
      </c>
      <c r="N544" s="0" t="inlineStr">
        <is>
          <t xml:space="preserve"/>
        </is>
      </c>
      <c r="O544" s="0" t="inlineStr">
        <is>
          <t xml:space="preserve"/>
        </is>
      </c>
      <c r="P544" s="0" t="inlineStr">
        <is>
          <t xml:space="preserve"/>
        </is>
      </c>
      <c r="Q544" s="0" t="inlineStr">
        <is>
          <t xml:space="preserve"/>
        </is>
      </c>
      <c r="R544" s="0">
        <f>IF(D544="","",IFERROR(LOOKUP(2,1/(($D$2:$D$1001=D544)*($M$2:$M$1001="win")),$L$2:$L$1001),""))</f>
      </c>
      <c r="S544" s="0" t="inlineStr">
        <is>
          <t xml:space="preserve"/>
        </is>
      </c>
      <c r="T544" s="0" t="inlineStr">
        <is>
          <t xml:space="preserve"/>
        </is>
      </c>
      <c r="U544" s="0" t="inlineStr">
        <is>
          <t xml:space="preserve"/>
        </is>
      </c>
      <c r="V544" s="0" t="inlineStr">
        <is>
          <t xml:space="preserve"/>
        </is>
      </c>
      <c r="W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>
        <f>IF(E545="","",IF(OR(ISNUMBER(SEARCH("狼",E545)),ISNUMBER(SEARCH("石像鬼",E545)),ISNUMBER(SEARCH("恶灵骑士",E545)),ISNUMBER(SEARCH("黑蝙蝠",E545)),ISNUMBER(SEARCH("血月使徒",E545))),"werewolves","villagers"))</f>
      </c>
      <c r="M545" s="0">
        <f>IF(F545="","",IF(ROUND(F545,2)=5,"win","loss"))</f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>
        <f>IF(D545="","",IFERROR(LOOKUP(2,1/(($D$2:$D$1001=D545)*($M$2:$M$1001="win")),$L$2:$L$1001),""))</f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 t="inlineStr">
        <is>
          <t xml:space="preserve"/>
        </is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>
        <f>IF(E546="","",IF(OR(ISNUMBER(SEARCH("狼",E546)),ISNUMBER(SEARCH("石像鬼",E546)),ISNUMBER(SEARCH("恶灵骑士",E546)),ISNUMBER(SEARCH("黑蝙蝠",E546)),ISNUMBER(SEARCH("血月使徒",E546))),"werewolves","villagers"))</f>
      </c>
      <c r="M546" s="0">
        <f>IF(F546="","",IF(ROUND(F546,2)=5,"win","loss"))</f>
      </c>
      <c r="N546" s="0" t="inlineStr">
        <is>
          <t xml:space="preserve"/>
        </is>
      </c>
      <c r="O546" s="0" t="inlineStr">
        <is>
          <t xml:space="preserve"/>
        </is>
      </c>
      <c r="P546" s="0" t="inlineStr">
        <is>
          <t xml:space="preserve"/>
        </is>
      </c>
      <c r="Q546" s="0" t="inlineStr">
        <is>
          <t xml:space="preserve"/>
        </is>
      </c>
      <c r="R546" s="0">
        <f>IF(D546="","",IFERROR(LOOKUP(2,1/(($D$2:$D$1001=D546)*($M$2:$M$1001="win")),$L$2:$L$1001),""))</f>
      </c>
      <c r="S546" s="0" t="inlineStr">
        <is>
          <t xml:space="preserve"/>
        </is>
      </c>
      <c r="T546" s="0" t="inlineStr">
        <is>
          <t xml:space="preserve"/>
        </is>
      </c>
      <c r="U546" s="0" t="inlineStr">
        <is>
          <t xml:space="preserve"/>
        </is>
      </c>
      <c r="V546" s="0" t="inlineStr">
        <is>
          <t xml:space="preserve"/>
        </is>
      </c>
      <c r="W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 t="inlineStr">
        <is>
          <t xml:space="preserve"/>
        </is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>
        <f>IF(E547="","",IF(OR(ISNUMBER(SEARCH("狼",E547)),ISNUMBER(SEARCH("石像鬼",E547)),ISNUMBER(SEARCH("恶灵骑士",E547)),ISNUMBER(SEARCH("黑蝙蝠",E547)),ISNUMBER(SEARCH("血月使徒",E547))),"werewolves","villagers"))</f>
      </c>
      <c r="M547" s="0">
        <f>IF(F547="","",IF(ROUND(F547,2)=5,"win","loss"))</f>
      </c>
      <c r="N547" s="0" t="inlineStr">
        <is>
          <t xml:space="preserve"/>
        </is>
      </c>
      <c r="O547" s="0" t="inlineStr">
        <is>
          <t xml:space="preserve"/>
        </is>
      </c>
      <c r="P547" s="0" t="inlineStr">
        <is>
          <t xml:space="preserve"/>
        </is>
      </c>
      <c r="Q547" s="0" t="inlineStr">
        <is>
          <t xml:space="preserve"/>
        </is>
      </c>
      <c r="R547" s="0">
        <f>IF(D547="","",IFERROR(LOOKUP(2,1/(($D$2:$D$1001=D547)*($M$2:$M$1001="win")),$L$2:$L$1001),""))</f>
      </c>
      <c r="S547" s="0" t="inlineStr">
        <is>
          <t xml:space="preserve"/>
        </is>
      </c>
      <c r="T547" s="0" t="inlineStr">
        <is>
          <t xml:space="preserve"/>
        </is>
      </c>
      <c r="U547" s="0" t="inlineStr">
        <is>
          <t xml:space="preserve"/>
        </is>
      </c>
      <c r="V547" s="0" t="inlineStr">
        <is>
          <t xml:space="preserve"/>
        </is>
      </c>
      <c r="W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 t="inlineStr">
        <is>
          <t xml:space="preserve"/>
        </is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>
        <f>IF(E548="","",IF(OR(ISNUMBER(SEARCH("狼",E548)),ISNUMBER(SEARCH("石像鬼",E548)),ISNUMBER(SEARCH("恶灵骑士",E548)),ISNUMBER(SEARCH("黑蝙蝠",E548)),ISNUMBER(SEARCH("血月使徒",E548))),"werewolves","villagers"))</f>
      </c>
      <c r="M548" s="0">
        <f>IF(F548="","",IF(ROUND(F548,2)=5,"win","loss"))</f>
      </c>
      <c r="N548" s="0" t="inlineStr">
        <is>
          <t xml:space="preserve"/>
        </is>
      </c>
      <c r="O548" s="0" t="inlineStr">
        <is>
          <t xml:space="preserve"/>
        </is>
      </c>
      <c r="P548" s="0" t="inlineStr">
        <is>
          <t xml:space="preserve"/>
        </is>
      </c>
      <c r="Q548" s="0" t="inlineStr">
        <is>
          <t xml:space="preserve"/>
        </is>
      </c>
      <c r="R548" s="0">
        <f>IF(D548="","",IFERROR(LOOKUP(2,1/(($D$2:$D$1001=D548)*($M$2:$M$1001="win")),$L$2:$L$1001),""))</f>
      </c>
      <c r="S548" s="0" t="inlineStr">
        <is>
          <t xml:space="preserve"/>
        </is>
      </c>
      <c r="T548" s="0" t="inlineStr">
        <is>
          <t xml:space="preserve"/>
        </is>
      </c>
      <c r="U548" s="0" t="inlineStr">
        <is>
          <t xml:space="preserve"/>
        </is>
      </c>
      <c r="V548" s="0" t="inlineStr">
        <is>
          <t xml:space="preserve"/>
        </is>
      </c>
      <c r="W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 t="inlineStr">
        <is>
          <t xml:space="preserve"/>
        </is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>
        <f>IF(E549="","",IF(OR(ISNUMBER(SEARCH("狼",E549)),ISNUMBER(SEARCH("石像鬼",E549)),ISNUMBER(SEARCH("恶灵骑士",E549)),ISNUMBER(SEARCH("黑蝙蝠",E549)),ISNUMBER(SEARCH("血月使徒",E549))),"werewolves","villagers"))</f>
      </c>
      <c r="M549" s="0">
        <f>IF(F549="","",IF(ROUND(F549,2)=5,"win","loss"))</f>
      </c>
      <c r="N549" s="0" t="inlineStr">
        <is>
          <t xml:space="preserve"/>
        </is>
      </c>
      <c r="O549" s="0" t="inlineStr">
        <is>
          <t xml:space="preserve"/>
        </is>
      </c>
      <c r="P549" s="0" t="inlineStr">
        <is>
          <t xml:space="preserve"/>
        </is>
      </c>
      <c r="Q549" s="0" t="inlineStr">
        <is>
          <t xml:space="preserve"/>
        </is>
      </c>
      <c r="R549" s="0">
        <f>IF(D549="","",IFERROR(LOOKUP(2,1/(($D$2:$D$1001=D549)*($M$2:$M$1001="win")),$L$2:$L$1001),""))</f>
      </c>
      <c r="S549" s="0" t="inlineStr">
        <is>
          <t xml:space="preserve"/>
        </is>
      </c>
      <c r="T549" s="0" t="inlineStr">
        <is>
          <t xml:space="preserve"/>
        </is>
      </c>
      <c r="U549" s="0" t="inlineStr">
        <is>
          <t xml:space="preserve"/>
        </is>
      </c>
      <c r="V549" s="0" t="inlineStr">
        <is>
          <t xml:space="preserve"/>
        </is>
      </c>
      <c r="W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 t="inlineStr">
        <is>
          <t xml:space="preserve"/>
        </is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>
        <f>IF(E550="","",IF(OR(ISNUMBER(SEARCH("狼",E550)),ISNUMBER(SEARCH("石像鬼",E550)),ISNUMBER(SEARCH("恶灵骑士",E550)),ISNUMBER(SEARCH("黑蝙蝠",E550)),ISNUMBER(SEARCH("血月使徒",E550))),"werewolves","villagers"))</f>
      </c>
      <c r="M550" s="0">
        <f>IF(F550="","",IF(ROUND(F550,2)=5,"win","loss"))</f>
      </c>
      <c r="N550" s="0" t="inlineStr">
        <is>
          <t xml:space="preserve"/>
        </is>
      </c>
      <c r="O550" s="0" t="inlineStr">
        <is>
          <t xml:space="preserve"/>
        </is>
      </c>
      <c r="P550" s="0" t="inlineStr">
        <is>
          <t xml:space="preserve"/>
        </is>
      </c>
      <c r="Q550" s="0" t="inlineStr">
        <is>
          <t xml:space="preserve"/>
        </is>
      </c>
      <c r="R550" s="0">
        <f>IF(D550="","",IFERROR(LOOKUP(2,1/(($D$2:$D$1001=D550)*($M$2:$M$1001="win")),$L$2:$L$1001),""))</f>
      </c>
      <c r="S550" s="0" t="inlineStr">
        <is>
          <t xml:space="preserve"/>
        </is>
      </c>
      <c r="T550" s="0" t="inlineStr">
        <is>
          <t xml:space="preserve"/>
        </is>
      </c>
      <c r="U550" s="0" t="inlineStr">
        <is>
          <t xml:space="preserve"/>
        </is>
      </c>
      <c r="V550" s="0" t="inlineStr">
        <is>
          <t xml:space="preserve"/>
        </is>
      </c>
      <c r="W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 t="inlineStr">
        <is>
          <t xml:space="preserve"/>
        </is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>
        <f>IF(E551="","",IF(OR(ISNUMBER(SEARCH("狼",E551)),ISNUMBER(SEARCH("石像鬼",E551)),ISNUMBER(SEARCH("恶灵骑士",E551)),ISNUMBER(SEARCH("黑蝙蝠",E551)),ISNUMBER(SEARCH("血月使徒",E551))),"werewolves","villagers"))</f>
      </c>
      <c r="M551" s="0">
        <f>IF(F551="","",IF(ROUND(F551,2)=5,"win","loss"))</f>
      </c>
      <c r="N551" s="0" t="inlineStr">
        <is>
          <t xml:space="preserve"/>
        </is>
      </c>
      <c r="O551" s="0" t="inlineStr">
        <is>
          <t xml:space="preserve"/>
        </is>
      </c>
      <c r="P551" s="0" t="inlineStr">
        <is>
          <t xml:space="preserve"/>
        </is>
      </c>
      <c r="Q551" s="0" t="inlineStr">
        <is>
          <t xml:space="preserve"/>
        </is>
      </c>
      <c r="R551" s="0">
        <f>IF(D551="","",IFERROR(LOOKUP(2,1/(($D$2:$D$1001=D551)*($M$2:$M$1001="win")),$L$2:$L$1001),""))</f>
      </c>
      <c r="S551" s="0" t="inlineStr">
        <is>
          <t xml:space="preserve"/>
        </is>
      </c>
      <c r="T551" s="0" t="inlineStr">
        <is>
          <t xml:space="preserve"/>
        </is>
      </c>
      <c r="U551" s="0" t="inlineStr">
        <is>
          <t xml:space="preserve"/>
        </is>
      </c>
      <c r="V551" s="0" t="inlineStr">
        <is>
          <t xml:space="preserve"/>
        </is>
      </c>
      <c r="W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 t="inlineStr">
        <is>
          <t xml:space="preserve"/>
        </is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>
        <f>IF(E552="","",IF(OR(ISNUMBER(SEARCH("狼",E552)),ISNUMBER(SEARCH("石像鬼",E552)),ISNUMBER(SEARCH("恶灵骑士",E552)),ISNUMBER(SEARCH("黑蝙蝠",E552)),ISNUMBER(SEARCH("血月使徒",E552))),"werewolves","villagers"))</f>
      </c>
      <c r="M552" s="0">
        <f>IF(F552="","",IF(ROUND(F552,2)=5,"win","loss"))</f>
      </c>
      <c r="N552" s="0" t="inlineStr">
        <is>
          <t xml:space="preserve"/>
        </is>
      </c>
      <c r="O552" s="0" t="inlineStr">
        <is>
          <t xml:space="preserve"/>
        </is>
      </c>
      <c r="P552" s="0" t="inlineStr">
        <is>
          <t xml:space="preserve"/>
        </is>
      </c>
      <c r="Q552" s="0" t="inlineStr">
        <is>
          <t xml:space="preserve"/>
        </is>
      </c>
      <c r="R552" s="0">
        <f>IF(D552="","",IFERROR(LOOKUP(2,1/(($D$2:$D$1001=D552)*($M$2:$M$1001="win")),$L$2:$L$1001),""))</f>
      </c>
      <c r="S552" s="0" t="inlineStr">
        <is>
          <t xml:space="preserve"/>
        </is>
      </c>
      <c r="T552" s="0" t="inlineStr">
        <is>
          <t xml:space="preserve"/>
        </is>
      </c>
      <c r="U552" s="0" t="inlineStr">
        <is>
          <t xml:space="preserve"/>
        </is>
      </c>
      <c r="V552" s="0" t="inlineStr">
        <is>
          <t xml:space="preserve"/>
        </is>
      </c>
      <c r="W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>
        <f>IF(E553="","",IF(OR(ISNUMBER(SEARCH("狼",E553)),ISNUMBER(SEARCH("石像鬼",E553)),ISNUMBER(SEARCH("恶灵骑士",E553)),ISNUMBER(SEARCH("黑蝙蝠",E553)),ISNUMBER(SEARCH("血月使徒",E553))),"werewolves","villagers"))</f>
      </c>
      <c r="M553" s="0">
        <f>IF(F553="","",IF(ROUND(F553,2)=5,"win","loss"))</f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>
        <f>IF(D553="","",IFERROR(LOOKUP(2,1/(($D$2:$D$1001=D553)*($M$2:$M$1001="win")),$L$2:$L$1001),""))</f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 t="inlineStr">
        <is>
          <t xml:space="preserve"/>
        </is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>
        <f>IF(E554="","",IF(OR(ISNUMBER(SEARCH("狼",E554)),ISNUMBER(SEARCH("石像鬼",E554)),ISNUMBER(SEARCH("恶灵骑士",E554)),ISNUMBER(SEARCH("黑蝙蝠",E554)),ISNUMBER(SEARCH("血月使徒",E554))),"werewolves","villagers"))</f>
      </c>
      <c r="M554" s="0">
        <f>IF(F554="","",IF(ROUND(F554,2)=5,"win","loss"))</f>
      </c>
      <c r="N554" s="0" t="inlineStr">
        <is>
          <t xml:space="preserve"/>
        </is>
      </c>
      <c r="O554" s="0" t="inlineStr">
        <is>
          <t xml:space="preserve"/>
        </is>
      </c>
      <c r="P554" s="0" t="inlineStr">
        <is>
          <t xml:space="preserve"/>
        </is>
      </c>
      <c r="Q554" s="0" t="inlineStr">
        <is>
          <t xml:space="preserve"/>
        </is>
      </c>
      <c r="R554" s="0">
        <f>IF(D554="","",IFERROR(LOOKUP(2,1/(($D$2:$D$1001=D554)*($M$2:$M$1001="win")),$L$2:$L$1001),""))</f>
      </c>
      <c r="S554" s="0" t="inlineStr">
        <is>
          <t xml:space="preserve"/>
        </is>
      </c>
      <c r="T554" s="0" t="inlineStr">
        <is>
          <t xml:space="preserve"/>
        </is>
      </c>
      <c r="U554" s="0" t="inlineStr">
        <is>
          <t xml:space="preserve"/>
        </is>
      </c>
      <c r="V554" s="0" t="inlineStr">
        <is>
          <t xml:space="preserve"/>
        </is>
      </c>
      <c r="W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 t="inlineStr">
        <is>
          <t xml:space="preserve"/>
        </is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>
        <f>IF(E555="","",IF(OR(ISNUMBER(SEARCH("狼",E555)),ISNUMBER(SEARCH("石像鬼",E555)),ISNUMBER(SEARCH("恶灵骑士",E555)),ISNUMBER(SEARCH("黑蝙蝠",E555)),ISNUMBER(SEARCH("血月使徒",E555))),"werewolves","villagers"))</f>
      </c>
      <c r="M555" s="0">
        <f>IF(F555="","",IF(ROUND(F555,2)=5,"win","loss"))</f>
      </c>
      <c r="N555" s="0" t="inlineStr">
        <is>
          <t xml:space="preserve"/>
        </is>
      </c>
      <c r="O555" s="0" t="inlineStr">
        <is>
          <t xml:space="preserve"/>
        </is>
      </c>
      <c r="P555" s="0" t="inlineStr">
        <is>
          <t xml:space="preserve"/>
        </is>
      </c>
      <c r="Q555" s="0" t="inlineStr">
        <is>
          <t xml:space="preserve"/>
        </is>
      </c>
      <c r="R555" s="0">
        <f>IF(D555="","",IFERROR(LOOKUP(2,1/(($D$2:$D$1001=D555)*($M$2:$M$1001="win")),$L$2:$L$1001),""))</f>
      </c>
      <c r="S555" s="0" t="inlineStr">
        <is>
          <t xml:space="preserve"/>
        </is>
      </c>
      <c r="T555" s="0" t="inlineStr">
        <is>
          <t xml:space="preserve"/>
        </is>
      </c>
      <c r="U555" s="0" t="inlineStr">
        <is>
          <t xml:space="preserve"/>
        </is>
      </c>
      <c r="V555" s="0" t="inlineStr">
        <is>
          <t xml:space="preserve"/>
        </is>
      </c>
      <c r="W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 t="inlineStr">
        <is>
          <t xml:space="preserve"/>
        </is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>
        <f>IF(E556="","",IF(OR(ISNUMBER(SEARCH("狼",E556)),ISNUMBER(SEARCH("石像鬼",E556)),ISNUMBER(SEARCH("恶灵骑士",E556)),ISNUMBER(SEARCH("黑蝙蝠",E556)),ISNUMBER(SEARCH("血月使徒",E556))),"werewolves","villagers"))</f>
      </c>
      <c r="M556" s="0">
        <f>IF(F556="","",IF(ROUND(F556,2)=5,"win","loss"))</f>
      </c>
      <c r="N556" s="0" t="inlineStr">
        <is>
          <t xml:space="preserve"/>
        </is>
      </c>
      <c r="O556" s="0" t="inlineStr">
        <is>
          <t xml:space="preserve"/>
        </is>
      </c>
      <c r="P556" s="0" t="inlineStr">
        <is>
          <t xml:space="preserve"/>
        </is>
      </c>
      <c r="Q556" s="0" t="inlineStr">
        <is>
          <t xml:space="preserve"/>
        </is>
      </c>
      <c r="R556" s="0">
        <f>IF(D556="","",IFERROR(LOOKUP(2,1/(($D$2:$D$1001=D556)*($M$2:$M$1001="win")),$L$2:$L$1001),""))</f>
      </c>
      <c r="S556" s="0" t="inlineStr">
        <is>
          <t xml:space="preserve"/>
        </is>
      </c>
      <c r="T556" s="0" t="inlineStr">
        <is>
          <t xml:space="preserve"/>
        </is>
      </c>
      <c r="U556" s="0" t="inlineStr">
        <is>
          <t xml:space="preserve"/>
        </is>
      </c>
      <c r="V556" s="0" t="inlineStr">
        <is>
          <t xml:space="preserve"/>
        </is>
      </c>
      <c r="W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>
        <f>IF(E557="","",IF(OR(ISNUMBER(SEARCH("狼",E557)),ISNUMBER(SEARCH("石像鬼",E557)),ISNUMBER(SEARCH("恶灵骑士",E557)),ISNUMBER(SEARCH("黑蝙蝠",E557)),ISNUMBER(SEARCH("血月使徒",E557))),"werewolves","villagers"))</f>
      </c>
      <c r="M557" s="0">
        <f>IF(F557="","",IF(ROUND(F557,2)=5,"win","loss"))</f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>
        <f>IF(D557="","",IFERROR(LOOKUP(2,1/(($D$2:$D$1001=D557)*($M$2:$M$1001="win")),$L$2:$L$1001),""))</f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 t="inlineStr">
        <is>
          <t xml:space="preserve"/>
        </is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>
        <f>IF(E558="","",IF(OR(ISNUMBER(SEARCH("狼",E558)),ISNUMBER(SEARCH("石像鬼",E558)),ISNUMBER(SEARCH("恶灵骑士",E558)),ISNUMBER(SEARCH("黑蝙蝠",E558)),ISNUMBER(SEARCH("血月使徒",E558))),"werewolves","villagers"))</f>
      </c>
      <c r="M558" s="0">
        <f>IF(F558="","",IF(ROUND(F558,2)=5,"win","loss"))</f>
      </c>
      <c r="N558" s="0" t="inlineStr">
        <is>
          <t xml:space="preserve"/>
        </is>
      </c>
      <c r="O558" s="0" t="inlineStr">
        <is>
          <t xml:space="preserve"/>
        </is>
      </c>
      <c r="P558" s="0" t="inlineStr">
        <is>
          <t xml:space="preserve"/>
        </is>
      </c>
      <c r="Q558" s="0" t="inlineStr">
        <is>
          <t xml:space="preserve"/>
        </is>
      </c>
      <c r="R558" s="0">
        <f>IF(D558="","",IFERROR(LOOKUP(2,1/(($D$2:$D$1001=D558)*($M$2:$M$1001="win")),$L$2:$L$1001),""))</f>
      </c>
      <c r="S558" s="0" t="inlineStr">
        <is>
          <t xml:space="preserve"/>
        </is>
      </c>
      <c r="T558" s="0" t="inlineStr">
        <is>
          <t xml:space="preserve"/>
        </is>
      </c>
      <c r="U558" s="0" t="inlineStr">
        <is>
          <t xml:space="preserve"/>
        </is>
      </c>
      <c r="V558" s="0" t="inlineStr">
        <is>
          <t xml:space="preserve"/>
        </is>
      </c>
      <c r="W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 t="inlineStr">
        <is>
          <t xml:space="preserve"/>
        </is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>
        <f>IF(E559="","",IF(OR(ISNUMBER(SEARCH("狼",E559)),ISNUMBER(SEARCH("石像鬼",E559)),ISNUMBER(SEARCH("恶灵骑士",E559)),ISNUMBER(SEARCH("黑蝙蝠",E559)),ISNUMBER(SEARCH("血月使徒",E559))),"werewolves","villagers"))</f>
      </c>
      <c r="M559" s="0">
        <f>IF(F559="","",IF(ROUND(F559,2)=5,"win","loss"))</f>
      </c>
      <c r="N559" s="0" t="inlineStr">
        <is>
          <t xml:space="preserve"/>
        </is>
      </c>
      <c r="O559" s="0" t="inlineStr">
        <is>
          <t xml:space="preserve"/>
        </is>
      </c>
      <c r="P559" s="0" t="inlineStr">
        <is>
          <t xml:space="preserve"/>
        </is>
      </c>
      <c r="Q559" s="0" t="inlineStr">
        <is>
          <t xml:space="preserve"/>
        </is>
      </c>
      <c r="R559" s="0">
        <f>IF(D559="","",IFERROR(LOOKUP(2,1/(($D$2:$D$1001=D559)*($M$2:$M$1001="win")),$L$2:$L$1001),""))</f>
      </c>
      <c r="S559" s="0" t="inlineStr">
        <is>
          <t xml:space="preserve"/>
        </is>
      </c>
      <c r="T559" s="0" t="inlineStr">
        <is>
          <t xml:space="preserve"/>
        </is>
      </c>
      <c r="U559" s="0" t="inlineStr">
        <is>
          <t xml:space="preserve"/>
        </is>
      </c>
      <c r="V559" s="0" t="inlineStr">
        <is>
          <t xml:space="preserve"/>
        </is>
      </c>
      <c r="W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 t="inlineStr">
        <is>
          <t xml:space="preserve"/>
        </is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>
        <f>IF(E560="","",IF(OR(ISNUMBER(SEARCH("狼",E560)),ISNUMBER(SEARCH("石像鬼",E560)),ISNUMBER(SEARCH("恶灵骑士",E560)),ISNUMBER(SEARCH("黑蝙蝠",E560)),ISNUMBER(SEARCH("血月使徒",E560))),"werewolves","villagers"))</f>
      </c>
      <c r="M560" s="0">
        <f>IF(F560="","",IF(ROUND(F560,2)=5,"win","loss"))</f>
      </c>
      <c r="N560" s="0" t="inlineStr">
        <is>
          <t xml:space="preserve"/>
        </is>
      </c>
      <c r="O560" s="0" t="inlineStr">
        <is>
          <t xml:space="preserve"/>
        </is>
      </c>
      <c r="P560" s="0" t="inlineStr">
        <is>
          <t xml:space="preserve"/>
        </is>
      </c>
      <c r="Q560" s="0" t="inlineStr">
        <is>
          <t xml:space="preserve"/>
        </is>
      </c>
      <c r="R560" s="0">
        <f>IF(D560="","",IFERROR(LOOKUP(2,1/(($D$2:$D$1001=D560)*($M$2:$M$1001="win")),$L$2:$L$1001),""))</f>
      </c>
      <c r="S560" s="0" t="inlineStr">
        <is>
          <t xml:space="preserve"/>
        </is>
      </c>
      <c r="T560" s="0" t="inlineStr">
        <is>
          <t xml:space="preserve"/>
        </is>
      </c>
      <c r="U560" s="0" t="inlineStr">
        <is>
          <t xml:space="preserve"/>
        </is>
      </c>
      <c r="V560" s="0" t="inlineStr">
        <is>
          <t xml:space="preserve"/>
        </is>
      </c>
      <c r="W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>
        <f>IF(E561="","",IF(OR(ISNUMBER(SEARCH("狼",E561)),ISNUMBER(SEARCH("石像鬼",E561)),ISNUMBER(SEARCH("恶灵骑士",E561)),ISNUMBER(SEARCH("黑蝙蝠",E561)),ISNUMBER(SEARCH("血月使徒",E561))),"werewolves","villagers"))</f>
      </c>
      <c r="M561" s="0">
        <f>IF(F561="","",IF(ROUND(F561,2)=5,"win","loss"))</f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>
        <f>IF(D561="","",IFERROR(LOOKUP(2,1/(($D$2:$D$1001=D561)*($M$2:$M$1001="win")),$L$2:$L$1001),""))</f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 t="inlineStr">
        <is>
          <t xml:space="preserve"/>
        </is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>
        <f>IF(E562="","",IF(OR(ISNUMBER(SEARCH("狼",E562)),ISNUMBER(SEARCH("石像鬼",E562)),ISNUMBER(SEARCH("恶灵骑士",E562)),ISNUMBER(SEARCH("黑蝙蝠",E562)),ISNUMBER(SEARCH("血月使徒",E562))),"werewolves","villagers"))</f>
      </c>
      <c r="M562" s="0">
        <f>IF(F562="","",IF(ROUND(F562,2)=5,"win","loss"))</f>
      </c>
      <c r="N562" s="0" t="inlineStr">
        <is>
          <t xml:space="preserve"/>
        </is>
      </c>
      <c r="O562" s="0" t="inlineStr">
        <is>
          <t xml:space="preserve"/>
        </is>
      </c>
      <c r="P562" s="0" t="inlineStr">
        <is>
          <t xml:space="preserve"/>
        </is>
      </c>
      <c r="Q562" s="0" t="inlineStr">
        <is>
          <t xml:space="preserve"/>
        </is>
      </c>
      <c r="R562" s="0">
        <f>IF(D562="","",IFERROR(LOOKUP(2,1/(($D$2:$D$1001=D562)*($M$2:$M$1001="win")),$L$2:$L$1001),""))</f>
      </c>
      <c r="S562" s="0" t="inlineStr">
        <is>
          <t xml:space="preserve"/>
        </is>
      </c>
      <c r="T562" s="0" t="inlineStr">
        <is>
          <t xml:space="preserve"/>
        </is>
      </c>
      <c r="U562" s="0" t="inlineStr">
        <is>
          <t xml:space="preserve"/>
        </is>
      </c>
      <c r="V562" s="0" t="inlineStr">
        <is>
          <t xml:space="preserve"/>
        </is>
      </c>
      <c r="W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 t="inlineStr">
        <is>
          <t xml:space="preserve"/>
        </is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>
        <f>IF(E563="","",IF(OR(ISNUMBER(SEARCH("狼",E563)),ISNUMBER(SEARCH("石像鬼",E563)),ISNUMBER(SEARCH("恶灵骑士",E563)),ISNUMBER(SEARCH("黑蝙蝠",E563)),ISNUMBER(SEARCH("血月使徒",E563))),"werewolves","villagers"))</f>
      </c>
      <c r="M563" s="0">
        <f>IF(F563="","",IF(ROUND(F563,2)=5,"win","loss"))</f>
      </c>
      <c r="N563" s="0" t="inlineStr">
        <is>
          <t xml:space="preserve"/>
        </is>
      </c>
      <c r="O563" s="0" t="inlineStr">
        <is>
          <t xml:space="preserve"/>
        </is>
      </c>
      <c r="P563" s="0" t="inlineStr">
        <is>
          <t xml:space="preserve"/>
        </is>
      </c>
      <c r="Q563" s="0" t="inlineStr">
        <is>
          <t xml:space="preserve"/>
        </is>
      </c>
      <c r="R563" s="0">
        <f>IF(D563="","",IFERROR(LOOKUP(2,1/(($D$2:$D$1001=D563)*($M$2:$M$1001="win")),$L$2:$L$1001),""))</f>
      </c>
      <c r="S563" s="0" t="inlineStr">
        <is>
          <t xml:space="preserve"/>
        </is>
      </c>
      <c r="T563" s="0" t="inlineStr">
        <is>
          <t xml:space="preserve"/>
        </is>
      </c>
      <c r="U563" s="0" t="inlineStr">
        <is>
          <t xml:space="preserve"/>
        </is>
      </c>
      <c r="V563" s="0" t="inlineStr">
        <is>
          <t xml:space="preserve"/>
        </is>
      </c>
      <c r="W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 t="inlineStr">
        <is>
          <t xml:space="preserve"/>
        </is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>
        <f>IF(E564="","",IF(OR(ISNUMBER(SEARCH("狼",E564)),ISNUMBER(SEARCH("石像鬼",E564)),ISNUMBER(SEARCH("恶灵骑士",E564)),ISNUMBER(SEARCH("黑蝙蝠",E564)),ISNUMBER(SEARCH("血月使徒",E564))),"werewolves","villagers"))</f>
      </c>
      <c r="M564" s="0">
        <f>IF(F564="","",IF(ROUND(F564,2)=5,"win","loss"))</f>
      </c>
      <c r="N564" s="0" t="inlineStr">
        <is>
          <t xml:space="preserve"/>
        </is>
      </c>
      <c r="O564" s="0" t="inlineStr">
        <is>
          <t xml:space="preserve"/>
        </is>
      </c>
      <c r="P564" s="0" t="inlineStr">
        <is>
          <t xml:space="preserve"/>
        </is>
      </c>
      <c r="Q564" s="0" t="inlineStr">
        <is>
          <t xml:space="preserve"/>
        </is>
      </c>
      <c r="R564" s="0">
        <f>IF(D564="","",IFERROR(LOOKUP(2,1/(($D$2:$D$1001=D564)*($M$2:$M$1001="win")),$L$2:$L$1001),""))</f>
      </c>
      <c r="S564" s="0" t="inlineStr">
        <is>
          <t xml:space="preserve"/>
        </is>
      </c>
      <c r="T564" s="0" t="inlineStr">
        <is>
          <t xml:space="preserve"/>
        </is>
      </c>
      <c r="U564" s="0" t="inlineStr">
        <is>
          <t xml:space="preserve"/>
        </is>
      </c>
      <c r="V564" s="0" t="inlineStr">
        <is>
          <t xml:space="preserve"/>
        </is>
      </c>
      <c r="W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>
        <f>IF(E565="","",IF(OR(ISNUMBER(SEARCH("狼",E565)),ISNUMBER(SEARCH("石像鬼",E565)),ISNUMBER(SEARCH("恶灵骑士",E565)),ISNUMBER(SEARCH("黑蝙蝠",E565)),ISNUMBER(SEARCH("血月使徒",E565))),"werewolves","villagers"))</f>
      </c>
      <c r="M565" s="0">
        <f>IF(F565="","",IF(ROUND(F565,2)=5,"win","loss"))</f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>
        <f>IF(D565="","",IFERROR(LOOKUP(2,1/(($D$2:$D$1001=D565)*($M$2:$M$1001="win")),$L$2:$L$1001),""))</f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>
        <f>IF(E566="","",IF(OR(ISNUMBER(SEARCH("狼",E566)),ISNUMBER(SEARCH("石像鬼",E566)),ISNUMBER(SEARCH("恶灵骑士",E566)),ISNUMBER(SEARCH("黑蝙蝠",E566)),ISNUMBER(SEARCH("血月使徒",E566))),"werewolves","villagers"))</f>
      </c>
      <c r="M566" s="0">
        <f>IF(F566="","",IF(ROUND(F566,2)=5,"win","loss"))</f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>
        <f>IF(D566="","",IFERROR(LOOKUP(2,1/(($D$2:$D$1001=D566)*($M$2:$M$1001="win")),$L$2:$L$1001),""))</f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 t="inlineStr">
        <is>
          <t xml:space="preserve"/>
        </is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>
        <f>IF(E567="","",IF(OR(ISNUMBER(SEARCH("狼",E567)),ISNUMBER(SEARCH("石像鬼",E567)),ISNUMBER(SEARCH("恶灵骑士",E567)),ISNUMBER(SEARCH("黑蝙蝠",E567)),ISNUMBER(SEARCH("血月使徒",E567))),"werewolves","villagers"))</f>
      </c>
      <c r="M567" s="0">
        <f>IF(F567="","",IF(ROUND(F567,2)=5,"win","loss"))</f>
      </c>
      <c r="N567" s="0" t="inlineStr">
        <is>
          <t xml:space="preserve"/>
        </is>
      </c>
      <c r="O567" s="0" t="inlineStr">
        <is>
          <t xml:space="preserve"/>
        </is>
      </c>
      <c r="P567" s="0" t="inlineStr">
        <is>
          <t xml:space="preserve"/>
        </is>
      </c>
      <c r="Q567" s="0" t="inlineStr">
        <is>
          <t xml:space="preserve"/>
        </is>
      </c>
      <c r="R567" s="0">
        <f>IF(D567="","",IFERROR(LOOKUP(2,1/(($D$2:$D$1001=D567)*($M$2:$M$1001="win")),$L$2:$L$1001),""))</f>
      </c>
      <c r="S567" s="0" t="inlineStr">
        <is>
          <t xml:space="preserve"/>
        </is>
      </c>
      <c r="T567" s="0" t="inlineStr">
        <is>
          <t xml:space="preserve"/>
        </is>
      </c>
      <c r="U567" s="0" t="inlineStr">
        <is>
          <t xml:space="preserve"/>
        </is>
      </c>
      <c r="V567" s="0" t="inlineStr">
        <is>
          <t xml:space="preserve"/>
        </is>
      </c>
      <c r="W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 t="inlineStr">
        <is>
          <t xml:space="preserve"/>
        </is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>
        <f>IF(E568="","",IF(OR(ISNUMBER(SEARCH("狼",E568)),ISNUMBER(SEARCH("石像鬼",E568)),ISNUMBER(SEARCH("恶灵骑士",E568)),ISNUMBER(SEARCH("黑蝙蝠",E568)),ISNUMBER(SEARCH("血月使徒",E568))),"werewolves","villagers"))</f>
      </c>
      <c r="M568" s="0">
        <f>IF(F568="","",IF(ROUND(F568,2)=5,"win","loss"))</f>
      </c>
      <c r="N568" s="0" t="inlineStr">
        <is>
          <t xml:space="preserve"/>
        </is>
      </c>
      <c r="O568" s="0" t="inlineStr">
        <is>
          <t xml:space="preserve"/>
        </is>
      </c>
      <c r="P568" s="0" t="inlineStr">
        <is>
          <t xml:space="preserve"/>
        </is>
      </c>
      <c r="Q568" s="0" t="inlineStr">
        <is>
          <t xml:space="preserve"/>
        </is>
      </c>
      <c r="R568" s="0">
        <f>IF(D568="","",IFERROR(LOOKUP(2,1/(($D$2:$D$1001=D568)*($M$2:$M$1001="win")),$L$2:$L$1001),""))</f>
      </c>
      <c r="S568" s="0" t="inlineStr">
        <is>
          <t xml:space="preserve"/>
        </is>
      </c>
      <c r="T568" s="0" t="inlineStr">
        <is>
          <t xml:space="preserve"/>
        </is>
      </c>
      <c r="U568" s="0" t="inlineStr">
        <is>
          <t xml:space="preserve"/>
        </is>
      </c>
      <c r="V568" s="0" t="inlineStr">
        <is>
          <t xml:space="preserve"/>
        </is>
      </c>
      <c r="W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>
        <f>IF(E569="","",IF(OR(ISNUMBER(SEARCH("狼",E569)),ISNUMBER(SEARCH("石像鬼",E569)),ISNUMBER(SEARCH("恶灵骑士",E569)),ISNUMBER(SEARCH("黑蝙蝠",E569)),ISNUMBER(SEARCH("血月使徒",E569))),"werewolves","villagers"))</f>
      </c>
      <c r="M569" s="0">
        <f>IF(F569="","",IF(ROUND(F569,2)=5,"win","loss"))</f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>
        <f>IF(D569="","",IFERROR(LOOKUP(2,1/(($D$2:$D$1001=D569)*($M$2:$M$1001="win")),$L$2:$L$1001),""))</f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>
        <f>IF(E570="","",IF(OR(ISNUMBER(SEARCH("狼",E570)),ISNUMBER(SEARCH("石像鬼",E570)),ISNUMBER(SEARCH("恶灵骑士",E570)),ISNUMBER(SEARCH("黑蝙蝠",E570)),ISNUMBER(SEARCH("血月使徒",E570))),"werewolves","villagers"))</f>
      </c>
      <c r="M570" s="0">
        <f>IF(F570="","",IF(ROUND(F570,2)=5,"win","loss"))</f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>
        <f>IF(D570="","",IFERROR(LOOKUP(2,1/(($D$2:$D$1001=D570)*($M$2:$M$1001="win")),$L$2:$L$1001),""))</f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 t="inlineStr">
        <is>
          <t xml:space="preserve"/>
        </is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>
        <f>IF(E571="","",IF(OR(ISNUMBER(SEARCH("狼",E571)),ISNUMBER(SEARCH("石像鬼",E571)),ISNUMBER(SEARCH("恶灵骑士",E571)),ISNUMBER(SEARCH("黑蝙蝠",E571)),ISNUMBER(SEARCH("血月使徒",E571))),"werewolves","villagers"))</f>
      </c>
      <c r="M571" s="0">
        <f>IF(F571="","",IF(ROUND(F571,2)=5,"win","loss"))</f>
      </c>
      <c r="N571" s="0" t="inlineStr">
        <is>
          <t xml:space="preserve"/>
        </is>
      </c>
      <c r="O571" s="0" t="inlineStr">
        <is>
          <t xml:space="preserve"/>
        </is>
      </c>
      <c r="P571" s="0" t="inlineStr">
        <is>
          <t xml:space="preserve"/>
        </is>
      </c>
      <c r="Q571" s="0" t="inlineStr">
        <is>
          <t xml:space="preserve"/>
        </is>
      </c>
      <c r="R571" s="0">
        <f>IF(D571="","",IFERROR(LOOKUP(2,1/(($D$2:$D$1001=D571)*($M$2:$M$1001="win")),$L$2:$L$1001),""))</f>
      </c>
      <c r="S571" s="0" t="inlineStr">
        <is>
          <t xml:space="preserve"/>
        </is>
      </c>
      <c r="T571" s="0" t="inlineStr">
        <is>
          <t xml:space="preserve"/>
        </is>
      </c>
      <c r="U571" s="0" t="inlineStr">
        <is>
          <t xml:space="preserve"/>
        </is>
      </c>
      <c r="V571" s="0" t="inlineStr">
        <is>
          <t xml:space="preserve"/>
        </is>
      </c>
      <c r="W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 t="inlineStr">
        <is>
          <t xml:space="preserve"/>
        </is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>
        <f>IF(E572="","",IF(OR(ISNUMBER(SEARCH("狼",E572)),ISNUMBER(SEARCH("石像鬼",E572)),ISNUMBER(SEARCH("恶灵骑士",E572)),ISNUMBER(SEARCH("黑蝙蝠",E572)),ISNUMBER(SEARCH("血月使徒",E572))),"werewolves","villagers"))</f>
      </c>
      <c r="M572" s="0">
        <f>IF(F572="","",IF(ROUND(F572,2)=5,"win","loss"))</f>
      </c>
      <c r="N572" s="0" t="inlineStr">
        <is>
          <t xml:space="preserve"/>
        </is>
      </c>
      <c r="O572" s="0" t="inlineStr">
        <is>
          <t xml:space="preserve"/>
        </is>
      </c>
      <c r="P572" s="0" t="inlineStr">
        <is>
          <t xml:space="preserve"/>
        </is>
      </c>
      <c r="Q572" s="0" t="inlineStr">
        <is>
          <t xml:space="preserve"/>
        </is>
      </c>
      <c r="R572" s="0">
        <f>IF(D572="","",IFERROR(LOOKUP(2,1/(($D$2:$D$1001=D572)*($M$2:$M$1001="win")),$L$2:$L$1001),""))</f>
      </c>
      <c r="S572" s="0" t="inlineStr">
        <is>
          <t xml:space="preserve"/>
        </is>
      </c>
      <c r="T572" s="0" t="inlineStr">
        <is>
          <t xml:space="preserve"/>
        </is>
      </c>
      <c r="U572" s="0" t="inlineStr">
        <is>
          <t xml:space="preserve"/>
        </is>
      </c>
      <c r="V572" s="0" t="inlineStr">
        <is>
          <t xml:space="preserve"/>
        </is>
      </c>
      <c r="W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 t="inlineStr">
        <is>
          <t xml:space="preserve"/>
        </is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>
        <f>IF(E573="","",IF(OR(ISNUMBER(SEARCH("狼",E573)),ISNUMBER(SEARCH("石像鬼",E573)),ISNUMBER(SEARCH("恶灵骑士",E573)),ISNUMBER(SEARCH("黑蝙蝠",E573)),ISNUMBER(SEARCH("血月使徒",E573))),"werewolves","villagers"))</f>
      </c>
      <c r="M573" s="0">
        <f>IF(F573="","",IF(ROUND(F573,2)=5,"win","loss"))</f>
      </c>
      <c r="N573" s="0" t="inlineStr">
        <is>
          <t xml:space="preserve"/>
        </is>
      </c>
      <c r="O573" s="0" t="inlineStr">
        <is>
          <t xml:space="preserve"/>
        </is>
      </c>
      <c r="P573" s="0" t="inlineStr">
        <is>
          <t xml:space="preserve"/>
        </is>
      </c>
      <c r="Q573" s="0" t="inlineStr">
        <is>
          <t xml:space="preserve"/>
        </is>
      </c>
      <c r="R573" s="0">
        <f>IF(D573="","",IFERROR(LOOKUP(2,1/(($D$2:$D$1001=D573)*($M$2:$M$1001="win")),$L$2:$L$1001),""))</f>
      </c>
      <c r="S573" s="0" t="inlineStr">
        <is>
          <t xml:space="preserve"/>
        </is>
      </c>
      <c r="T573" s="0" t="inlineStr">
        <is>
          <t xml:space="preserve"/>
        </is>
      </c>
      <c r="U573" s="0" t="inlineStr">
        <is>
          <t xml:space="preserve"/>
        </is>
      </c>
      <c r="V573" s="0" t="inlineStr">
        <is>
          <t xml:space="preserve"/>
        </is>
      </c>
      <c r="W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>
        <f>IF(E574="","",IF(OR(ISNUMBER(SEARCH("狼",E574)),ISNUMBER(SEARCH("石像鬼",E574)),ISNUMBER(SEARCH("恶灵骑士",E574)),ISNUMBER(SEARCH("黑蝙蝠",E574)),ISNUMBER(SEARCH("血月使徒",E574))),"werewolves","villagers"))</f>
      </c>
      <c r="M574" s="0">
        <f>IF(F574="","",IF(ROUND(F574,2)=5,"win","loss"))</f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>
        <f>IF(D574="","",IFERROR(LOOKUP(2,1/(($D$2:$D$1001=D574)*($M$2:$M$1001="win")),$L$2:$L$1001),""))</f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 t="inlineStr">
        <is>
          <t xml:space="preserve"/>
        </is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>
        <f>IF(E575="","",IF(OR(ISNUMBER(SEARCH("狼",E575)),ISNUMBER(SEARCH("石像鬼",E575)),ISNUMBER(SEARCH("恶灵骑士",E575)),ISNUMBER(SEARCH("黑蝙蝠",E575)),ISNUMBER(SEARCH("血月使徒",E575))),"werewolves","villagers"))</f>
      </c>
      <c r="M575" s="0">
        <f>IF(F575="","",IF(ROUND(F575,2)=5,"win","loss"))</f>
      </c>
      <c r="N575" s="0" t="inlineStr">
        <is>
          <t xml:space="preserve"/>
        </is>
      </c>
      <c r="O575" s="0" t="inlineStr">
        <is>
          <t xml:space="preserve"/>
        </is>
      </c>
      <c r="P575" s="0" t="inlineStr">
        <is>
          <t xml:space="preserve"/>
        </is>
      </c>
      <c r="Q575" s="0" t="inlineStr">
        <is>
          <t xml:space="preserve"/>
        </is>
      </c>
      <c r="R575" s="0">
        <f>IF(D575="","",IFERROR(LOOKUP(2,1/(($D$2:$D$1001=D575)*($M$2:$M$1001="win")),$L$2:$L$1001),""))</f>
      </c>
      <c r="S575" s="0" t="inlineStr">
        <is>
          <t xml:space="preserve"/>
        </is>
      </c>
      <c r="T575" s="0" t="inlineStr">
        <is>
          <t xml:space="preserve"/>
        </is>
      </c>
      <c r="U575" s="0" t="inlineStr">
        <is>
          <t xml:space="preserve"/>
        </is>
      </c>
      <c r="V575" s="0" t="inlineStr">
        <is>
          <t xml:space="preserve"/>
        </is>
      </c>
      <c r="W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 t="inlineStr">
        <is>
          <t xml:space="preserve"/>
        </is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>
        <f>IF(E576="","",IF(OR(ISNUMBER(SEARCH("狼",E576)),ISNUMBER(SEARCH("石像鬼",E576)),ISNUMBER(SEARCH("恶灵骑士",E576)),ISNUMBER(SEARCH("黑蝙蝠",E576)),ISNUMBER(SEARCH("血月使徒",E576))),"werewolves","villagers"))</f>
      </c>
      <c r="M576" s="0">
        <f>IF(F576="","",IF(ROUND(F576,2)=5,"win","loss"))</f>
      </c>
      <c r="N576" s="0" t="inlineStr">
        <is>
          <t xml:space="preserve"/>
        </is>
      </c>
      <c r="O576" s="0" t="inlineStr">
        <is>
          <t xml:space="preserve"/>
        </is>
      </c>
      <c r="P576" s="0" t="inlineStr">
        <is>
          <t xml:space="preserve"/>
        </is>
      </c>
      <c r="Q576" s="0" t="inlineStr">
        <is>
          <t xml:space="preserve"/>
        </is>
      </c>
      <c r="R576" s="0">
        <f>IF(D576="","",IFERROR(LOOKUP(2,1/(($D$2:$D$1001=D576)*($M$2:$M$1001="win")),$L$2:$L$1001),""))</f>
      </c>
      <c r="S576" s="0" t="inlineStr">
        <is>
          <t xml:space="preserve"/>
        </is>
      </c>
      <c r="T576" s="0" t="inlineStr">
        <is>
          <t xml:space="preserve"/>
        </is>
      </c>
      <c r="U576" s="0" t="inlineStr">
        <is>
          <t xml:space="preserve"/>
        </is>
      </c>
      <c r="V576" s="0" t="inlineStr">
        <is>
          <t xml:space="preserve"/>
        </is>
      </c>
      <c r="W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 t="inlineStr">
        <is>
          <t xml:space="preserve"/>
        </is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>
        <f>IF(E577="","",IF(OR(ISNUMBER(SEARCH("狼",E577)),ISNUMBER(SEARCH("石像鬼",E577)),ISNUMBER(SEARCH("恶灵骑士",E577)),ISNUMBER(SEARCH("黑蝙蝠",E577)),ISNUMBER(SEARCH("血月使徒",E577))),"werewolves","villagers"))</f>
      </c>
      <c r="M577" s="0">
        <f>IF(F577="","",IF(ROUND(F577,2)=5,"win","loss"))</f>
      </c>
      <c r="N577" s="0" t="inlineStr">
        <is>
          <t xml:space="preserve"/>
        </is>
      </c>
      <c r="O577" s="0" t="inlineStr">
        <is>
          <t xml:space="preserve"/>
        </is>
      </c>
      <c r="P577" s="0" t="inlineStr">
        <is>
          <t xml:space="preserve"/>
        </is>
      </c>
      <c r="Q577" s="0" t="inlineStr">
        <is>
          <t xml:space="preserve"/>
        </is>
      </c>
      <c r="R577" s="0">
        <f>IF(D577="","",IFERROR(LOOKUP(2,1/(($D$2:$D$1001=D577)*($M$2:$M$1001="win")),$L$2:$L$1001),""))</f>
      </c>
      <c r="S577" s="0" t="inlineStr">
        <is>
          <t xml:space="preserve"/>
        </is>
      </c>
      <c r="T577" s="0" t="inlineStr">
        <is>
          <t xml:space="preserve"/>
        </is>
      </c>
      <c r="U577" s="0" t="inlineStr">
        <is>
          <t xml:space="preserve"/>
        </is>
      </c>
      <c r="V577" s="0" t="inlineStr">
        <is>
          <t xml:space="preserve"/>
        </is>
      </c>
      <c r="W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 t="inlineStr">
        <is>
          <t xml:space="preserve"/>
        </is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>
        <f>IF(E578="","",IF(OR(ISNUMBER(SEARCH("狼",E578)),ISNUMBER(SEARCH("石像鬼",E578)),ISNUMBER(SEARCH("恶灵骑士",E578)),ISNUMBER(SEARCH("黑蝙蝠",E578)),ISNUMBER(SEARCH("血月使徒",E578))),"werewolves","villagers"))</f>
      </c>
      <c r="M578" s="0">
        <f>IF(F578="","",IF(ROUND(F578,2)=5,"win","loss"))</f>
      </c>
      <c r="N578" s="0" t="inlineStr">
        <is>
          <t xml:space="preserve"/>
        </is>
      </c>
      <c r="O578" s="0" t="inlineStr">
        <is>
          <t xml:space="preserve"/>
        </is>
      </c>
      <c r="P578" s="0" t="inlineStr">
        <is>
          <t xml:space="preserve"/>
        </is>
      </c>
      <c r="Q578" s="0" t="inlineStr">
        <is>
          <t xml:space="preserve"/>
        </is>
      </c>
      <c r="R578" s="0">
        <f>IF(D578="","",IFERROR(LOOKUP(2,1/(($D$2:$D$1001=D578)*($M$2:$M$1001="win")),$L$2:$L$1001),""))</f>
      </c>
      <c r="S578" s="0" t="inlineStr">
        <is>
          <t xml:space="preserve"/>
        </is>
      </c>
      <c r="T578" s="0" t="inlineStr">
        <is>
          <t xml:space="preserve"/>
        </is>
      </c>
      <c r="U578" s="0" t="inlineStr">
        <is>
          <t xml:space="preserve"/>
        </is>
      </c>
      <c r="V578" s="0" t="inlineStr">
        <is>
          <t xml:space="preserve"/>
        </is>
      </c>
      <c r="W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 t="inlineStr">
        <is>
          <t xml:space="preserve"/>
        </is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>
        <f>IF(E579="","",IF(OR(ISNUMBER(SEARCH("狼",E579)),ISNUMBER(SEARCH("石像鬼",E579)),ISNUMBER(SEARCH("恶灵骑士",E579)),ISNUMBER(SEARCH("黑蝙蝠",E579)),ISNUMBER(SEARCH("血月使徒",E579))),"werewolves","villagers"))</f>
      </c>
      <c r="M579" s="0">
        <f>IF(F579="","",IF(ROUND(F579,2)=5,"win","loss"))</f>
      </c>
      <c r="N579" s="0" t="inlineStr">
        <is>
          <t xml:space="preserve"/>
        </is>
      </c>
      <c r="O579" s="0" t="inlineStr">
        <is>
          <t xml:space="preserve"/>
        </is>
      </c>
      <c r="P579" s="0" t="inlineStr">
        <is>
          <t xml:space="preserve"/>
        </is>
      </c>
      <c r="Q579" s="0" t="inlineStr">
        <is>
          <t xml:space="preserve"/>
        </is>
      </c>
      <c r="R579" s="0">
        <f>IF(D579="","",IFERROR(LOOKUP(2,1/(($D$2:$D$1001=D579)*($M$2:$M$1001="win")),$L$2:$L$1001),""))</f>
      </c>
      <c r="S579" s="0" t="inlineStr">
        <is>
          <t xml:space="preserve"/>
        </is>
      </c>
      <c r="T579" s="0" t="inlineStr">
        <is>
          <t xml:space="preserve"/>
        </is>
      </c>
      <c r="U579" s="0" t="inlineStr">
        <is>
          <t xml:space="preserve"/>
        </is>
      </c>
      <c r="V579" s="0" t="inlineStr">
        <is>
          <t xml:space="preserve"/>
        </is>
      </c>
      <c r="W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 t="inlineStr">
        <is>
          <t xml:space="preserve"/>
        </is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>
        <f>IF(E580="","",IF(OR(ISNUMBER(SEARCH("狼",E580)),ISNUMBER(SEARCH("石像鬼",E580)),ISNUMBER(SEARCH("恶灵骑士",E580)),ISNUMBER(SEARCH("黑蝙蝠",E580)),ISNUMBER(SEARCH("血月使徒",E580))),"werewolves","villagers"))</f>
      </c>
      <c r="M580" s="0">
        <f>IF(F580="","",IF(ROUND(F580,2)=5,"win","loss"))</f>
      </c>
      <c r="N580" s="0" t="inlineStr">
        <is>
          <t xml:space="preserve"/>
        </is>
      </c>
      <c r="O580" s="0" t="inlineStr">
        <is>
          <t xml:space="preserve"/>
        </is>
      </c>
      <c r="P580" s="0" t="inlineStr">
        <is>
          <t xml:space="preserve"/>
        </is>
      </c>
      <c r="Q580" s="0" t="inlineStr">
        <is>
          <t xml:space="preserve"/>
        </is>
      </c>
      <c r="R580" s="0">
        <f>IF(D580="","",IFERROR(LOOKUP(2,1/(($D$2:$D$1001=D580)*($M$2:$M$1001="win")),$L$2:$L$1001),""))</f>
      </c>
      <c r="S580" s="0" t="inlineStr">
        <is>
          <t xml:space="preserve"/>
        </is>
      </c>
      <c r="T580" s="0" t="inlineStr">
        <is>
          <t xml:space="preserve"/>
        </is>
      </c>
      <c r="U580" s="0" t="inlineStr">
        <is>
          <t xml:space="preserve"/>
        </is>
      </c>
      <c r="V580" s="0" t="inlineStr">
        <is>
          <t xml:space="preserve"/>
        </is>
      </c>
      <c r="W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 t="inlineStr">
        <is>
          <t xml:space="preserve"/>
        </is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>
        <f>IF(E581="","",IF(OR(ISNUMBER(SEARCH("狼",E581)),ISNUMBER(SEARCH("石像鬼",E581)),ISNUMBER(SEARCH("恶灵骑士",E581)),ISNUMBER(SEARCH("黑蝙蝠",E581)),ISNUMBER(SEARCH("血月使徒",E581))),"werewolves","villagers"))</f>
      </c>
      <c r="M581" s="0">
        <f>IF(F581="","",IF(ROUND(F581,2)=5,"win","loss"))</f>
      </c>
      <c r="N581" s="0" t="inlineStr">
        <is>
          <t xml:space="preserve"/>
        </is>
      </c>
      <c r="O581" s="0" t="inlineStr">
        <is>
          <t xml:space="preserve"/>
        </is>
      </c>
      <c r="P581" s="0" t="inlineStr">
        <is>
          <t xml:space="preserve"/>
        </is>
      </c>
      <c r="Q581" s="0" t="inlineStr">
        <is>
          <t xml:space="preserve"/>
        </is>
      </c>
      <c r="R581" s="0">
        <f>IF(D581="","",IFERROR(LOOKUP(2,1/(($D$2:$D$1001=D581)*($M$2:$M$1001="win")),$L$2:$L$1001),""))</f>
      </c>
      <c r="S581" s="0" t="inlineStr">
        <is>
          <t xml:space="preserve"/>
        </is>
      </c>
      <c r="T581" s="0" t="inlineStr">
        <is>
          <t xml:space="preserve"/>
        </is>
      </c>
      <c r="U581" s="0" t="inlineStr">
        <is>
          <t xml:space="preserve"/>
        </is>
      </c>
      <c r="V581" s="0" t="inlineStr">
        <is>
          <t xml:space="preserve"/>
        </is>
      </c>
      <c r="W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 t="inlineStr">
        <is>
          <t xml:space="preserve"/>
        </is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>
        <f>IF(E582="","",IF(OR(ISNUMBER(SEARCH("狼",E582)),ISNUMBER(SEARCH("石像鬼",E582)),ISNUMBER(SEARCH("恶灵骑士",E582)),ISNUMBER(SEARCH("黑蝙蝠",E582)),ISNUMBER(SEARCH("血月使徒",E582))),"werewolves","villagers"))</f>
      </c>
      <c r="M582" s="0">
        <f>IF(F582="","",IF(ROUND(F582,2)=5,"win","loss"))</f>
      </c>
      <c r="N582" s="0" t="inlineStr">
        <is>
          <t xml:space="preserve"/>
        </is>
      </c>
      <c r="O582" s="0" t="inlineStr">
        <is>
          <t xml:space="preserve"/>
        </is>
      </c>
      <c r="P582" s="0" t="inlineStr">
        <is>
          <t xml:space="preserve"/>
        </is>
      </c>
      <c r="Q582" s="0" t="inlineStr">
        <is>
          <t xml:space="preserve"/>
        </is>
      </c>
      <c r="R582" s="0">
        <f>IF(D582="","",IFERROR(LOOKUP(2,1/(($D$2:$D$1001=D582)*($M$2:$M$1001="win")),$L$2:$L$1001),""))</f>
      </c>
      <c r="S582" s="0" t="inlineStr">
        <is>
          <t xml:space="preserve"/>
        </is>
      </c>
      <c r="T582" s="0" t="inlineStr">
        <is>
          <t xml:space="preserve"/>
        </is>
      </c>
      <c r="U582" s="0" t="inlineStr">
        <is>
          <t xml:space="preserve"/>
        </is>
      </c>
      <c r="V582" s="0" t="inlineStr">
        <is>
          <t xml:space="preserve"/>
        </is>
      </c>
      <c r="W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>
        <f>IF(E583="","",IF(OR(ISNUMBER(SEARCH("狼",E583)),ISNUMBER(SEARCH("石像鬼",E583)),ISNUMBER(SEARCH("恶灵骑士",E583)),ISNUMBER(SEARCH("黑蝙蝠",E583)),ISNUMBER(SEARCH("血月使徒",E583))),"werewolves","villagers"))</f>
      </c>
      <c r="M583" s="0">
        <f>IF(F583="","",IF(ROUND(F583,2)=5,"win","loss"))</f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>
        <f>IF(D583="","",IFERROR(LOOKUP(2,1/(($D$2:$D$1001=D583)*($M$2:$M$1001="win")),$L$2:$L$1001),""))</f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 t="inlineStr">
        <is>
          <t xml:space="preserve"/>
        </is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>
        <f>IF(E584="","",IF(OR(ISNUMBER(SEARCH("狼",E584)),ISNUMBER(SEARCH("石像鬼",E584)),ISNUMBER(SEARCH("恶灵骑士",E584)),ISNUMBER(SEARCH("黑蝙蝠",E584)),ISNUMBER(SEARCH("血月使徒",E584))),"werewolves","villagers"))</f>
      </c>
      <c r="M584" s="0">
        <f>IF(F584="","",IF(ROUND(F584,2)=5,"win","loss"))</f>
      </c>
      <c r="N584" s="0" t="inlineStr">
        <is>
          <t xml:space="preserve"/>
        </is>
      </c>
      <c r="O584" s="0" t="inlineStr">
        <is>
          <t xml:space="preserve"/>
        </is>
      </c>
      <c r="P584" s="0" t="inlineStr">
        <is>
          <t xml:space="preserve"/>
        </is>
      </c>
      <c r="Q584" s="0" t="inlineStr">
        <is>
          <t xml:space="preserve"/>
        </is>
      </c>
      <c r="R584" s="0">
        <f>IF(D584="","",IFERROR(LOOKUP(2,1/(($D$2:$D$1001=D584)*($M$2:$M$1001="win")),$L$2:$L$1001),""))</f>
      </c>
      <c r="S584" s="0" t="inlineStr">
        <is>
          <t xml:space="preserve"/>
        </is>
      </c>
      <c r="T584" s="0" t="inlineStr">
        <is>
          <t xml:space="preserve"/>
        </is>
      </c>
      <c r="U584" s="0" t="inlineStr">
        <is>
          <t xml:space="preserve"/>
        </is>
      </c>
      <c r="V584" s="0" t="inlineStr">
        <is>
          <t xml:space="preserve"/>
        </is>
      </c>
      <c r="W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>
        <f>IF(E585="","",IF(OR(ISNUMBER(SEARCH("狼",E585)),ISNUMBER(SEARCH("石像鬼",E585)),ISNUMBER(SEARCH("恶灵骑士",E585)),ISNUMBER(SEARCH("黑蝙蝠",E585)),ISNUMBER(SEARCH("血月使徒",E585))),"werewolves","villagers"))</f>
      </c>
      <c r="M585" s="0">
        <f>IF(F585="","",IF(ROUND(F585,2)=5,"win","loss"))</f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>
        <f>IF(D585="","",IFERROR(LOOKUP(2,1/(($D$2:$D$1001=D585)*($M$2:$M$1001="win")),$L$2:$L$1001),""))</f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 t="inlineStr">
        <is>
          <t xml:space="preserve"/>
        </is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>
        <f>IF(E586="","",IF(OR(ISNUMBER(SEARCH("狼",E586)),ISNUMBER(SEARCH("石像鬼",E586)),ISNUMBER(SEARCH("恶灵骑士",E586)),ISNUMBER(SEARCH("黑蝙蝠",E586)),ISNUMBER(SEARCH("血月使徒",E586))),"werewolves","villagers"))</f>
      </c>
      <c r="M586" s="0">
        <f>IF(F586="","",IF(ROUND(F586,2)=5,"win","loss"))</f>
      </c>
      <c r="N586" s="0" t="inlineStr">
        <is>
          <t xml:space="preserve"/>
        </is>
      </c>
      <c r="O586" s="0" t="inlineStr">
        <is>
          <t xml:space="preserve"/>
        </is>
      </c>
      <c r="P586" s="0" t="inlineStr">
        <is>
          <t xml:space="preserve"/>
        </is>
      </c>
      <c r="Q586" s="0" t="inlineStr">
        <is>
          <t xml:space="preserve"/>
        </is>
      </c>
      <c r="R586" s="0">
        <f>IF(D586="","",IFERROR(LOOKUP(2,1/(($D$2:$D$1001=D586)*($M$2:$M$1001="win")),$L$2:$L$1001),""))</f>
      </c>
      <c r="S586" s="0" t="inlineStr">
        <is>
          <t xml:space="preserve"/>
        </is>
      </c>
      <c r="T586" s="0" t="inlineStr">
        <is>
          <t xml:space="preserve"/>
        </is>
      </c>
      <c r="U586" s="0" t="inlineStr">
        <is>
          <t xml:space="preserve"/>
        </is>
      </c>
      <c r="V586" s="0" t="inlineStr">
        <is>
          <t xml:space="preserve"/>
        </is>
      </c>
      <c r="W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 t="inlineStr">
        <is>
          <t xml:space="preserve"/>
        </is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>
        <f>IF(E587="","",IF(OR(ISNUMBER(SEARCH("狼",E587)),ISNUMBER(SEARCH("石像鬼",E587)),ISNUMBER(SEARCH("恶灵骑士",E587)),ISNUMBER(SEARCH("黑蝙蝠",E587)),ISNUMBER(SEARCH("血月使徒",E587))),"werewolves","villagers"))</f>
      </c>
      <c r="M587" s="0">
        <f>IF(F587="","",IF(ROUND(F587,2)=5,"win","loss"))</f>
      </c>
      <c r="N587" s="0" t="inlineStr">
        <is>
          <t xml:space="preserve"/>
        </is>
      </c>
      <c r="O587" s="0" t="inlineStr">
        <is>
          <t xml:space="preserve"/>
        </is>
      </c>
      <c r="P587" s="0" t="inlineStr">
        <is>
          <t xml:space="preserve"/>
        </is>
      </c>
      <c r="Q587" s="0" t="inlineStr">
        <is>
          <t xml:space="preserve"/>
        </is>
      </c>
      <c r="R587" s="0">
        <f>IF(D587="","",IFERROR(LOOKUP(2,1/(($D$2:$D$1001=D587)*($M$2:$M$1001="win")),$L$2:$L$1001),""))</f>
      </c>
      <c r="S587" s="0" t="inlineStr">
        <is>
          <t xml:space="preserve"/>
        </is>
      </c>
      <c r="T587" s="0" t="inlineStr">
        <is>
          <t xml:space="preserve"/>
        </is>
      </c>
      <c r="U587" s="0" t="inlineStr">
        <is>
          <t xml:space="preserve"/>
        </is>
      </c>
      <c r="V587" s="0" t="inlineStr">
        <is>
          <t xml:space="preserve"/>
        </is>
      </c>
      <c r="W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 t="inlineStr">
        <is>
          <t xml:space="preserve"/>
        </is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>
        <f>IF(E588="","",IF(OR(ISNUMBER(SEARCH("狼",E588)),ISNUMBER(SEARCH("石像鬼",E588)),ISNUMBER(SEARCH("恶灵骑士",E588)),ISNUMBER(SEARCH("黑蝙蝠",E588)),ISNUMBER(SEARCH("血月使徒",E588))),"werewolves","villagers"))</f>
      </c>
      <c r="M588" s="0">
        <f>IF(F588="","",IF(ROUND(F588,2)=5,"win","loss"))</f>
      </c>
      <c r="N588" s="0" t="inlineStr">
        <is>
          <t xml:space="preserve"/>
        </is>
      </c>
      <c r="O588" s="0" t="inlineStr">
        <is>
          <t xml:space="preserve"/>
        </is>
      </c>
      <c r="P588" s="0" t="inlineStr">
        <is>
          <t xml:space="preserve"/>
        </is>
      </c>
      <c r="Q588" s="0" t="inlineStr">
        <is>
          <t xml:space="preserve"/>
        </is>
      </c>
      <c r="R588" s="0">
        <f>IF(D588="","",IFERROR(LOOKUP(2,1/(($D$2:$D$1001=D588)*($M$2:$M$1001="win")),$L$2:$L$1001),""))</f>
      </c>
      <c r="S588" s="0" t="inlineStr">
        <is>
          <t xml:space="preserve"/>
        </is>
      </c>
      <c r="T588" s="0" t="inlineStr">
        <is>
          <t xml:space="preserve"/>
        </is>
      </c>
      <c r="U588" s="0" t="inlineStr">
        <is>
          <t xml:space="preserve"/>
        </is>
      </c>
      <c r="V588" s="0" t="inlineStr">
        <is>
          <t xml:space="preserve"/>
        </is>
      </c>
      <c r="W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 t="inlineStr">
        <is>
          <t xml:space="preserve"/>
        </is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>
        <f>IF(E589="","",IF(OR(ISNUMBER(SEARCH("狼",E589)),ISNUMBER(SEARCH("石像鬼",E589)),ISNUMBER(SEARCH("恶灵骑士",E589)),ISNUMBER(SEARCH("黑蝙蝠",E589)),ISNUMBER(SEARCH("血月使徒",E589))),"werewolves","villagers"))</f>
      </c>
      <c r="M589" s="0">
        <f>IF(F589="","",IF(ROUND(F589,2)=5,"win","loss"))</f>
      </c>
      <c r="N589" s="0" t="inlineStr">
        <is>
          <t xml:space="preserve"/>
        </is>
      </c>
      <c r="O589" s="0" t="inlineStr">
        <is>
          <t xml:space="preserve"/>
        </is>
      </c>
      <c r="P589" s="0" t="inlineStr">
        <is>
          <t xml:space="preserve"/>
        </is>
      </c>
      <c r="Q589" s="0" t="inlineStr">
        <is>
          <t xml:space="preserve"/>
        </is>
      </c>
      <c r="R589" s="0">
        <f>IF(D589="","",IFERROR(LOOKUP(2,1/(($D$2:$D$1001=D589)*($M$2:$M$1001="win")),$L$2:$L$1001),""))</f>
      </c>
      <c r="S589" s="0" t="inlineStr">
        <is>
          <t xml:space="preserve"/>
        </is>
      </c>
      <c r="T589" s="0" t="inlineStr">
        <is>
          <t xml:space="preserve"/>
        </is>
      </c>
      <c r="U589" s="0" t="inlineStr">
        <is>
          <t xml:space="preserve"/>
        </is>
      </c>
      <c r="V589" s="0" t="inlineStr">
        <is>
          <t xml:space="preserve"/>
        </is>
      </c>
      <c r="W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 t="inlineStr">
        <is>
          <t xml:space="preserve"/>
        </is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>
        <f>IF(E590="","",IF(OR(ISNUMBER(SEARCH("狼",E590)),ISNUMBER(SEARCH("石像鬼",E590)),ISNUMBER(SEARCH("恶灵骑士",E590)),ISNUMBER(SEARCH("黑蝙蝠",E590)),ISNUMBER(SEARCH("血月使徒",E590))),"werewolves","villagers"))</f>
      </c>
      <c r="M590" s="0">
        <f>IF(F590="","",IF(ROUND(F590,2)=5,"win","loss"))</f>
      </c>
      <c r="N590" s="0" t="inlineStr">
        <is>
          <t xml:space="preserve"/>
        </is>
      </c>
      <c r="O590" s="0" t="inlineStr">
        <is>
          <t xml:space="preserve"/>
        </is>
      </c>
      <c r="P590" s="0" t="inlineStr">
        <is>
          <t xml:space="preserve"/>
        </is>
      </c>
      <c r="Q590" s="0" t="inlineStr">
        <is>
          <t xml:space="preserve"/>
        </is>
      </c>
      <c r="R590" s="0">
        <f>IF(D590="","",IFERROR(LOOKUP(2,1/(($D$2:$D$1001=D590)*($M$2:$M$1001="win")),$L$2:$L$1001),""))</f>
      </c>
      <c r="S590" s="0" t="inlineStr">
        <is>
          <t xml:space="preserve"/>
        </is>
      </c>
      <c r="T590" s="0" t="inlineStr">
        <is>
          <t xml:space="preserve"/>
        </is>
      </c>
      <c r="U590" s="0" t="inlineStr">
        <is>
          <t xml:space="preserve"/>
        </is>
      </c>
      <c r="V590" s="0" t="inlineStr">
        <is>
          <t xml:space="preserve"/>
        </is>
      </c>
      <c r="W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>
        <f>IF(E591="","",IF(OR(ISNUMBER(SEARCH("狼",E591)),ISNUMBER(SEARCH("石像鬼",E591)),ISNUMBER(SEARCH("恶灵骑士",E591)),ISNUMBER(SEARCH("黑蝙蝠",E591)),ISNUMBER(SEARCH("血月使徒",E591))),"werewolves","villagers"))</f>
      </c>
      <c r="M591" s="0">
        <f>IF(F591="","",IF(ROUND(F591,2)=5,"win","loss"))</f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>
        <f>IF(D591="","",IFERROR(LOOKUP(2,1/(($D$2:$D$1001=D591)*($M$2:$M$1001="win")),$L$2:$L$1001),""))</f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 t="inlineStr">
        <is>
          <t xml:space="preserve"/>
        </is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>
        <f>IF(E592="","",IF(OR(ISNUMBER(SEARCH("狼",E592)),ISNUMBER(SEARCH("石像鬼",E592)),ISNUMBER(SEARCH("恶灵骑士",E592)),ISNUMBER(SEARCH("黑蝙蝠",E592)),ISNUMBER(SEARCH("血月使徒",E592))),"werewolves","villagers"))</f>
      </c>
      <c r="M592" s="0">
        <f>IF(F592="","",IF(ROUND(F592,2)=5,"win","loss"))</f>
      </c>
      <c r="N592" s="0" t="inlineStr">
        <is>
          <t xml:space="preserve"/>
        </is>
      </c>
      <c r="O592" s="0" t="inlineStr">
        <is>
          <t xml:space="preserve"/>
        </is>
      </c>
      <c r="P592" s="0" t="inlineStr">
        <is>
          <t xml:space="preserve"/>
        </is>
      </c>
      <c r="Q592" s="0" t="inlineStr">
        <is>
          <t xml:space="preserve"/>
        </is>
      </c>
      <c r="R592" s="0">
        <f>IF(D592="","",IFERROR(LOOKUP(2,1/(($D$2:$D$1001=D592)*($M$2:$M$1001="win")),$L$2:$L$1001),""))</f>
      </c>
      <c r="S592" s="0" t="inlineStr">
        <is>
          <t xml:space="preserve"/>
        </is>
      </c>
      <c r="T592" s="0" t="inlineStr">
        <is>
          <t xml:space="preserve"/>
        </is>
      </c>
      <c r="U592" s="0" t="inlineStr">
        <is>
          <t xml:space="preserve"/>
        </is>
      </c>
      <c r="V592" s="0" t="inlineStr">
        <is>
          <t xml:space="preserve"/>
        </is>
      </c>
      <c r="W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 t="inlineStr">
        <is>
          <t xml:space="preserve"/>
        </is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>
        <f>IF(E593="","",IF(OR(ISNUMBER(SEARCH("狼",E593)),ISNUMBER(SEARCH("石像鬼",E593)),ISNUMBER(SEARCH("恶灵骑士",E593)),ISNUMBER(SEARCH("黑蝙蝠",E593)),ISNUMBER(SEARCH("血月使徒",E593))),"werewolves","villagers"))</f>
      </c>
      <c r="M593" s="0">
        <f>IF(F593="","",IF(ROUND(F593,2)=5,"win","loss"))</f>
      </c>
      <c r="N593" s="0" t="inlineStr">
        <is>
          <t xml:space="preserve"/>
        </is>
      </c>
      <c r="O593" s="0" t="inlineStr">
        <is>
          <t xml:space="preserve"/>
        </is>
      </c>
      <c r="P593" s="0" t="inlineStr">
        <is>
          <t xml:space="preserve"/>
        </is>
      </c>
      <c r="Q593" s="0" t="inlineStr">
        <is>
          <t xml:space="preserve"/>
        </is>
      </c>
      <c r="R593" s="0">
        <f>IF(D593="","",IFERROR(LOOKUP(2,1/(($D$2:$D$1001=D593)*($M$2:$M$1001="win")),$L$2:$L$1001),""))</f>
      </c>
      <c r="S593" s="0" t="inlineStr">
        <is>
          <t xml:space="preserve"/>
        </is>
      </c>
      <c r="T593" s="0" t="inlineStr">
        <is>
          <t xml:space="preserve"/>
        </is>
      </c>
      <c r="U593" s="0" t="inlineStr">
        <is>
          <t xml:space="preserve"/>
        </is>
      </c>
      <c r="V593" s="0" t="inlineStr">
        <is>
          <t xml:space="preserve"/>
        </is>
      </c>
      <c r="W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 t="inlineStr">
        <is>
          <t xml:space="preserve"/>
        </is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>
        <f>IF(E594="","",IF(OR(ISNUMBER(SEARCH("狼",E594)),ISNUMBER(SEARCH("石像鬼",E594)),ISNUMBER(SEARCH("恶灵骑士",E594)),ISNUMBER(SEARCH("黑蝙蝠",E594)),ISNUMBER(SEARCH("血月使徒",E594))),"werewolves","villagers"))</f>
      </c>
      <c r="M594" s="0">
        <f>IF(F594="","",IF(ROUND(F594,2)=5,"win","loss"))</f>
      </c>
      <c r="N594" s="0" t="inlineStr">
        <is>
          <t xml:space="preserve"/>
        </is>
      </c>
      <c r="O594" s="0" t="inlineStr">
        <is>
          <t xml:space="preserve"/>
        </is>
      </c>
      <c r="P594" s="0" t="inlineStr">
        <is>
          <t xml:space="preserve"/>
        </is>
      </c>
      <c r="Q594" s="0" t="inlineStr">
        <is>
          <t xml:space="preserve"/>
        </is>
      </c>
      <c r="R594" s="0">
        <f>IF(D594="","",IFERROR(LOOKUP(2,1/(($D$2:$D$1001=D594)*($M$2:$M$1001="win")),$L$2:$L$1001),""))</f>
      </c>
      <c r="S594" s="0" t="inlineStr">
        <is>
          <t xml:space="preserve"/>
        </is>
      </c>
      <c r="T594" s="0" t="inlineStr">
        <is>
          <t xml:space="preserve"/>
        </is>
      </c>
      <c r="U594" s="0" t="inlineStr">
        <is>
          <t xml:space="preserve"/>
        </is>
      </c>
      <c r="V594" s="0" t="inlineStr">
        <is>
          <t xml:space="preserve"/>
        </is>
      </c>
      <c r="W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>
        <f>IF(E595="","",IF(OR(ISNUMBER(SEARCH("狼",E595)),ISNUMBER(SEARCH("石像鬼",E595)),ISNUMBER(SEARCH("恶灵骑士",E595)),ISNUMBER(SEARCH("黑蝙蝠",E595)),ISNUMBER(SEARCH("血月使徒",E595))),"werewolves","villagers"))</f>
      </c>
      <c r="M595" s="0">
        <f>IF(F595="","",IF(ROUND(F595,2)=5,"win","loss"))</f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>
        <f>IF(D595="","",IFERROR(LOOKUP(2,1/(($D$2:$D$1001=D595)*($M$2:$M$1001="win")),$L$2:$L$1001),""))</f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 t="inlineStr">
        <is>
          <t xml:space="preserve"/>
        </is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>
        <f>IF(E596="","",IF(OR(ISNUMBER(SEARCH("狼",E596)),ISNUMBER(SEARCH("石像鬼",E596)),ISNUMBER(SEARCH("恶灵骑士",E596)),ISNUMBER(SEARCH("黑蝙蝠",E596)),ISNUMBER(SEARCH("血月使徒",E596))),"werewolves","villagers"))</f>
      </c>
      <c r="M596" s="0">
        <f>IF(F596="","",IF(ROUND(F596,2)=5,"win","loss"))</f>
      </c>
      <c r="N596" s="0" t="inlineStr">
        <is>
          <t xml:space="preserve"/>
        </is>
      </c>
      <c r="O596" s="0" t="inlineStr">
        <is>
          <t xml:space="preserve"/>
        </is>
      </c>
      <c r="P596" s="0" t="inlineStr">
        <is>
          <t xml:space="preserve"/>
        </is>
      </c>
      <c r="Q596" s="0" t="inlineStr">
        <is>
          <t xml:space="preserve"/>
        </is>
      </c>
      <c r="R596" s="0">
        <f>IF(D596="","",IFERROR(LOOKUP(2,1/(($D$2:$D$1001=D596)*($M$2:$M$1001="win")),$L$2:$L$1001),""))</f>
      </c>
      <c r="S596" s="0" t="inlineStr">
        <is>
          <t xml:space="preserve"/>
        </is>
      </c>
      <c r="T596" s="0" t="inlineStr">
        <is>
          <t xml:space="preserve"/>
        </is>
      </c>
      <c r="U596" s="0" t="inlineStr">
        <is>
          <t xml:space="preserve"/>
        </is>
      </c>
      <c r="V596" s="0" t="inlineStr">
        <is>
          <t xml:space="preserve"/>
        </is>
      </c>
      <c r="W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 t="inlineStr">
        <is>
          <t xml:space="preserve"/>
        </is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>
        <f>IF(E597="","",IF(OR(ISNUMBER(SEARCH("狼",E597)),ISNUMBER(SEARCH("石像鬼",E597)),ISNUMBER(SEARCH("恶灵骑士",E597)),ISNUMBER(SEARCH("黑蝙蝠",E597)),ISNUMBER(SEARCH("血月使徒",E597))),"werewolves","villagers"))</f>
      </c>
      <c r="M597" s="0">
        <f>IF(F597="","",IF(ROUND(F597,2)=5,"win","loss"))</f>
      </c>
      <c r="N597" s="0" t="inlineStr">
        <is>
          <t xml:space="preserve"/>
        </is>
      </c>
      <c r="O597" s="0" t="inlineStr">
        <is>
          <t xml:space="preserve"/>
        </is>
      </c>
      <c r="P597" s="0" t="inlineStr">
        <is>
          <t xml:space="preserve"/>
        </is>
      </c>
      <c r="Q597" s="0" t="inlineStr">
        <is>
          <t xml:space="preserve"/>
        </is>
      </c>
      <c r="R597" s="0">
        <f>IF(D597="","",IFERROR(LOOKUP(2,1/(($D$2:$D$1001=D597)*($M$2:$M$1001="win")),$L$2:$L$1001),""))</f>
      </c>
      <c r="S597" s="0" t="inlineStr">
        <is>
          <t xml:space="preserve"/>
        </is>
      </c>
      <c r="T597" s="0" t="inlineStr">
        <is>
          <t xml:space="preserve"/>
        </is>
      </c>
      <c r="U597" s="0" t="inlineStr">
        <is>
          <t xml:space="preserve"/>
        </is>
      </c>
      <c r="V597" s="0" t="inlineStr">
        <is>
          <t xml:space="preserve"/>
        </is>
      </c>
      <c r="W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 t="inlineStr">
        <is>
          <t xml:space="preserve"/>
        </is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>
        <f>IF(E598="","",IF(OR(ISNUMBER(SEARCH("狼",E598)),ISNUMBER(SEARCH("石像鬼",E598)),ISNUMBER(SEARCH("恶灵骑士",E598)),ISNUMBER(SEARCH("黑蝙蝠",E598)),ISNUMBER(SEARCH("血月使徒",E598))),"werewolves","villagers"))</f>
      </c>
      <c r="M598" s="0">
        <f>IF(F598="","",IF(ROUND(F598,2)=5,"win","loss"))</f>
      </c>
      <c r="N598" s="0" t="inlineStr">
        <is>
          <t xml:space="preserve"/>
        </is>
      </c>
      <c r="O598" s="0" t="inlineStr">
        <is>
          <t xml:space="preserve"/>
        </is>
      </c>
      <c r="P598" s="0" t="inlineStr">
        <is>
          <t xml:space="preserve"/>
        </is>
      </c>
      <c r="Q598" s="0" t="inlineStr">
        <is>
          <t xml:space="preserve"/>
        </is>
      </c>
      <c r="R598" s="0">
        <f>IF(D598="","",IFERROR(LOOKUP(2,1/(($D$2:$D$1001=D598)*($M$2:$M$1001="win")),$L$2:$L$1001),""))</f>
      </c>
      <c r="S598" s="0" t="inlineStr">
        <is>
          <t xml:space="preserve"/>
        </is>
      </c>
      <c r="T598" s="0" t="inlineStr">
        <is>
          <t xml:space="preserve"/>
        </is>
      </c>
      <c r="U598" s="0" t="inlineStr">
        <is>
          <t xml:space="preserve"/>
        </is>
      </c>
      <c r="V598" s="0" t="inlineStr">
        <is>
          <t xml:space="preserve"/>
        </is>
      </c>
      <c r="W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>
        <f>IF(E599="","",IF(OR(ISNUMBER(SEARCH("狼",E599)),ISNUMBER(SEARCH("石像鬼",E599)),ISNUMBER(SEARCH("恶灵骑士",E599)),ISNUMBER(SEARCH("黑蝙蝠",E599)),ISNUMBER(SEARCH("血月使徒",E599))),"werewolves","villagers"))</f>
      </c>
      <c r="M599" s="0">
        <f>IF(F599="","",IF(ROUND(F599,2)=5,"win","loss"))</f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>
        <f>IF(D599="","",IFERROR(LOOKUP(2,1/(($D$2:$D$1001=D599)*($M$2:$M$1001="win")),$L$2:$L$1001),""))</f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 t="inlineStr">
        <is>
          <t xml:space="preserve"/>
        </is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>
        <f>IF(E600="","",IF(OR(ISNUMBER(SEARCH("狼",E600)),ISNUMBER(SEARCH("石像鬼",E600)),ISNUMBER(SEARCH("恶灵骑士",E600)),ISNUMBER(SEARCH("黑蝙蝠",E600)),ISNUMBER(SEARCH("血月使徒",E600))),"werewolves","villagers"))</f>
      </c>
      <c r="M600" s="0">
        <f>IF(F600="","",IF(ROUND(F600,2)=5,"win","loss"))</f>
      </c>
      <c r="N600" s="0" t="inlineStr">
        <is>
          <t xml:space="preserve"/>
        </is>
      </c>
      <c r="O600" s="0" t="inlineStr">
        <is>
          <t xml:space="preserve"/>
        </is>
      </c>
      <c r="P600" s="0" t="inlineStr">
        <is>
          <t xml:space="preserve"/>
        </is>
      </c>
      <c r="Q600" s="0" t="inlineStr">
        <is>
          <t xml:space="preserve"/>
        </is>
      </c>
      <c r="R600" s="0">
        <f>IF(D600="","",IFERROR(LOOKUP(2,1/(($D$2:$D$1001=D600)*($M$2:$M$1001="win")),$L$2:$L$1001),""))</f>
      </c>
      <c r="S600" s="0" t="inlineStr">
        <is>
          <t xml:space="preserve"/>
        </is>
      </c>
      <c r="T600" s="0" t="inlineStr">
        <is>
          <t xml:space="preserve"/>
        </is>
      </c>
      <c r="U600" s="0" t="inlineStr">
        <is>
          <t xml:space="preserve"/>
        </is>
      </c>
      <c r="V600" s="0" t="inlineStr">
        <is>
          <t xml:space="preserve"/>
        </is>
      </c>
      <c r="W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 t="inlineStr">
        <is>
          <t xml:space="preserve"/>
        </is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>
        <f>IF(E601="","",IF(OR(ISNUMBER(SEARCH("狼",E601)),ISNUMBER(SEARCH("石像鬼",E601)),ISNUMBER(SEARCH("恶灵骑士",E601)),ISNUMBER(SEARCH("黑蝙蝠",E601)),ISNUMBER(SEARCH("血月使徒",E601))),"werewolves","villagers"))</f>
      </c>
      <c r="M601" s="0">
        <f>IF(F601="","",IF(ROUND(F601,2)=5,"win","loss"))</f>
      </c>
      <c r="N601" s="0" t="inlineStr">
        <is>
          <t xml:space="preserve"/>
        </is>
      </c>
      <c r="O601" s="0" t="inlineStr">
        <is>
          <t xml:space="preserve"/>
        </is>
      </c>
      <c r="P601" s="0" t="inlineStr">
        <is>
          <t xml:space="preserve"/>
        </is>
      </c>
      <c r="Q601" s="0" t="inlineStr">
        <is>
          <t xml:space="preserve"/>
        </is>
      </c>
      <c r="R601" s="0">
        <f>IF(D601="","",IFERROR(LOOKUP(2,1/(($D$2:$D$1001=D601)*($M$2:$M$1001="win")),$L$2:$L$1001),""))</f>
      </c>
      <c r="S601" s="0" t="inlineStr">
        <is>
          <t xml:space="preserve"/>
        </is>
      </c>
      <c r="T601" s="0" t="inlineStr">
        <is>
          <t xml:space="preserve"/>
        </is>
      </c>
      <c r="U601" s="0" t="inlineStr">
        <is>
          <t xml:space="preserve"/>
        </is>
      </c>
      <c r="V601" s="0" t="inlineStr">
        <is>
          <t xml:space="preserve"/>
        </is>
      </c>
      <c r="W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>
        <f>IF(E602="","",IF(OR(ISNUMBER(SEARCH("狼",E602)),ISNUMBER(SEARCH("石像鬼",E602)),ISNUMBER(SEARCH("恶灵骑士",E602)),ISNUMBER(SEARCH("黑蝙蝠",E602)),ISNUMBER(SEARCH("血月使徒",E602))),"werewolves","villagers"))</f>
      </c>
      <c r="M602" s="0">
        <f>IF(F602="","",IF(ROUND(F602,2)=5,"win","loss"))</f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>
        <f>IF(D602="","",IFERROR(LOOKUP(2,1/(($D$2:$D$1001=D602)*($M$2:$M$1001="win")),$L$2:$L$1001),""))</f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 t="inlineStr">
        <is>
          <t xml:space="preserve"/>
        </is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>
        <f>IF(E603="","",IF(OR(ISNUMBER(SEARCH("狼",E603)),ISNUMBER(SEARCH("石像鬼",E603)),ISNUMBER(SEARCH("恶灵骑士",E603)),ISNUMBER(SEARCH("黑蝙蝠",E603)),ISNUMBER(SEARCH("血月使徒",E603))),"werewolves","villagers"))</f>
      </c>
      <c r="M603" s="0">
        <f>IF(F603="","",IF(ROUND(F603,2)=5,"win","loss"))</f>
      </c>
      <c r="N603" s="0" t="inlineStr">
        <is>
          <t xml:space="preserve"/>
        </is>
      </c>
      <c r="O603" s="0" t="inlineStr">
        <is>
          <t xml:space="preserve"/>
        </is>
      </c>
      <c r="P603" s="0" t="inlineStr">
        <is>
          <t xml:space="preserve"/>
        </is>
      </c>
      <c r="Q603" s="0" t="inlineStr">
        <is>
          <t xml:space="preserve"/>
        </is>
      </c>
      <c r="R603" s="0">
        <f>IF(D603="","",IFERROR(LOOKUP(2,1/(($D$2:$D$1001=D603)*($M$2:$M$1001="win")),$L$2:$L$1001),""))</f>
      </c>
      <c r="S603" s="0" t="inlineStr">
        <is>
          <t xml:space="preserve"/>
        </is>
      </c>
      <c r="T603" s="0" t="inlineStr">
        <is>
          <t xml:space="preserve"/>
        </is>
      </c>
      <c r="U603" s="0" t="inlineStr">
        <is>
          <t xml:space="preserve"/>
        </is>
      </c>
      <c r="V603" s="0" t="inlineStr">
        <is>
          <t xml:space="preserve"/>
        </is>
      </c>
      <c r="W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>
        <f>IF(E604="","",IF(OR(ISNUMBER(SEARCH("狼",E604)),ISNUMBER(SEARCH("石像鬼",E604)),ISNUMBER(SEARCH("恶灵骑士",E604)),ISNUMBER(SEARCH("黑蝙蝠",E604)),ISNUMBER(SEARCH("血月使徒",E604))),"werewolves","villagers"))</f>
      </c>
      <c r="M604" s="0">
        <f>IF(F604="","",IF(ROUND(F604,2)=5,"win","loss"))</f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>
        <f>IF(D604="","",IFERROR(LOOKUP(2,1/(($D$2:$D$1001=D604)*($M$2:$M$1001="win")),$L$2:$L$1001),""))</f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 t="inlineStr">
        <is>
          <t xml:space="preserve"/>
        </is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>
        <f>IF(E605="","",IF(OR(ISNUMBER(SEARCH("狼",E605)),ISNUMBER(SEARCH("石像鬼",E605)),ISNUMBER(SEARCH("恶灵骑士",E605)),ISNUMBER(SEARCH("黑蝙蝠",E605)),ISNUMBER(SEARCH("血月使徒",E605))),"werewolves","villagers"))</f>
      </c>
      <c r="M605" s="0">
        <f>IF(F605="","",IF(ROUND(F605,2)=5,"win","loss"))</f>
      </c>
      <c r="N605" s="0" t="inlineStr">
        <is>
          <t xml:space="preserve"/>
        </is>
      </c>
      <c r="O605" s="0" t="inlineStr">
        <is>
          <t xml:space="preserve"/>
        </is>
      </c>
      <c r="P605" s="0" t="inlineStr">
        <is>
          <t xml:space="preserve"/>
        </is>
      </c>
      <c r="Q605" s="0" t="inlineStr">
        <is>
          <t xml:space="preserve"/>
        </is>
      </c>
      <c r="R605" s="0">
        <f>IF(D605="","",IFERROR(LOOKUP(2,1/(($D$2:$D$1001=D605)*($M$2:$M$1001="win")),$L$2:$L$1001),""))</f>
      </c>
      <c r="S605" s="0" t="inlineStr">
        <is>
          <t xml:space="preserve"/>
        </is>
      </c>
      <c r="T605" s="0" t="inlineStr">
        <is>
          <t xml:space="preserve"/>
        </is>
      </c>
      <c r="U605" s="0" t="inlineStr">
        <is>
          <t xml:space="preserve"/>
        </is>
      </c>
      <c r="V605" s="0" t="inlineStr">
        <is>
          <t xml:space="preserve"/>
        </is>
      </c>
      <c r="W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 t="inlineStr">
        <is>
          <t xml:space="preserve"/>
        </is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>
        <f>IF(E606="","",IF(OR(ISNUMBER(SEARCH("狼",E606)),ISNUMBER(SEARCH("石像鬼",E606)),ISNUMBER(SEARCH("恶灵骑士",E606)),ISNUMBER(SEARCH("黑蝙蝠",E606)),ISNUMBER(SEARCH("血月使徒",E606))),"werewolves","villagers"))</f>
      </c>
      <c r="M606" s="0">
        <f>IF(F606="","",IF(ROUND(F606,2)=5,"win","loss"))</f>
      </c>
      <c r="N606" s="0" t="inlineStr">
        <is>
          <t xml:space="preserve"/>
        </is>
      </c>
      <c r="O606" s="0" t="inlineStr">
        <is>
          <t xml:space="preserve"/>
        </is>
      </c>
      <c r="P606" s="0" t="inlineStr">
        <is>
          <t xml:space="preserve"/>
        </is>
      </c>
      <c r="Q606" s="0" t="inlineStr">
        <is>
          <t xml:space="preserve"/>
        </is>
      </c>
      <c r="R606" s="0">
        <f>IF(D606="","",IFERROR(LOOKUP(2,1/(($D$2:$D$1001=D606)*($M$2:$M$1001="win")),$L$2:$L$1001),""))</f>
      </c>
      <c r="S606" s="0" t="inlineStr">
        <is>
          <t xml:space="preserve"/>
        </is>
      </c>
      <c r="T606" s="0" t="inlineStr">
        <is>
          <t xml:space="preserve"/>
        </is>
      </c>
      <c r="U606" s="0" t="inlineStr">
        <is>
          <t xml:space="preserve"/>
        </is>
      </c>
      <c r="V606" s="0" t="inlineStr">
        <is>
          <t xml:space="preserve"/>
        </is>
      </c>
      <c r="W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 t="inlineStr">
        <is>
          <t xml:space="preserve"/>
        </is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>
        <f>IF(E607="","",IF(OR(ISNUMBER(SEARCH("狼",E607)),ISNUMBER(SEARCH("石像鬼",E607)),ISNUMBER(SEARCH("恶灵骑士",E607)),ISNUMBER(SEARCH("黑蝙蝠",E607)),ISNUMBER(SEARCH("血月使徒",E607))),"werewolves","villagers"))</f>
      </c>
      <c r="M607" s="0">
        <f>IF(F607="","",IF(ROUND(F607,2)=5,"win","loss"))</f>
      </c>
      <c r="N607" s="0" t="inlineStr">
        <is>
          <t xml:space="preserve"/>
        </is>
      </c>
      <c r="O607" s="0" t="inlineStr">
        <is>
          <t xml:space="preserve"/>
        </is>
      </c>
      <c r="P607" s="0" t="inlineStr">
        <is>
          <t xml:space="preserve"/>
        </is>
      </c>
      <c r="Q607" s="0" t="inlineStr">
        <is>
          <t xml:space="preserve"/>
        </is>
      </c>
      <c r="R607" s="0">
        <f>IF(D607="","",IFERROR(LOOKUP(2,1/(($D$2:$D$1001=D607)*($M$2:$M$1001="win")),$L$2:$L$1001),""))</f>
      </c>
      <c r="S607" s="0" t="inlineStr">
        <is>
          <t xml:space="preserve"/>
        </is>
      </c>
      <c r="T607" s="0" t="inlineStr">
        <is>
          <t xml:space="preserve"/>
        </is>
      </c>
      <c r="U607" s="0" t="inlineStr">
        <is>
          <t xml:space="preserve"/>
        </is>
      </c>
      <c r="V607" s="0" t="inlineStr">
        <is>
          <t xml:space="preserve"/>
        </is>
      </c>
      <c r="W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 t="inlineStr">
        <is>
          <t xml:space="preserve"/>
        </is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>
        <f>IF(E608="","",IF(OR(ISNUMBER(SEARCH("狼",E608)),ISNUMBER(SEARCH("石像鬼",E608)),ISNUMBER(SEARCH("恶灵骑士",E608)),ISNUMBER(SEARCH("黑蝙蝠",E608)),ISNUMBER(SEARCH("血月使徒",E608))),"werewolves","villagers"))</f>
      </c>
      <c r="M608" s="0">
        <f>IF(F608="","",IF(ROUND(F608,2)=5,"win","loss"))</f>
      </c>
      <c r="N608" s="0" t="inlineStr">
        <is>
          <t xml:space="preserve"/>
        </is>
      </c>
      <c r="O608" s="0" t="inlineStr">
        <is>
          <t xml:space="preserve"/>
        </is>
      </c>
      <c r="P608" s="0" t="inlineStr">
        <is>
          <t xml:space="preserve"/>
        </is>
      </c>
      <c r="Q608" s="0" t="inlineStr">
        <is>
          <t xml:space="preserve"/>
        </is>
      </c>
      <c r="R608" s="0">
        <f>IF(D608="","",IFERROR(LOOKUP(2,1/(($D$2:$D$1001=D608)*($M$2:$M$1001="win")),$L$2:$L$1001),""))</f>
      </c>
      <c r="S608" s="0" t="inlineStr">
        <is>
          <t xml:space="preserve"/>
        </is>
      </c>
      <c r="T608" s="0" t="inlineStr">
        <is>
          <t xml:space="preserve"/>
        </is>
      </c>
      <c r="U608" s="0" t="inlineStr">
        <is>
          <t xml:space="preserve"/>
        </is>
      </c>
      <c r="V608" s="0" t="inlineStr">
        <is>
          <t xml:space="preserve"/>
        </is>
      </c>
      <c r="W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 t="inlineStr">
        <is>
          <t xml:space="preserve"/>
        </is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>
        <f>IF(E609="","",IF(OR(ISNUMBER(SEARCH("狼",E609)),ISNUMBER(SEARCH("石像鬼",E609)),ISNUMBER(SEARCH("恶灵骑士",E609)),ISNUMBER(SEARCH("黑蝙蝠",E609)),ISNUMBER(SEARCH("血月使徒",E609))),"werewolves","villagers"))</f>
      </c>
      <c r="M609" s="0">
        <f>IF(F609="","",IF(ROUND(F609,2)=5,"win","loss"))</f>
      </c>
      <c r="N609" s="0" t="inlineStr">
        <is>
          <t xml:space="preserve"/>
        </is>
      </c>
      <c r="O609" s="0" t="inlineStr">
        <is>
          <t xml:space="preserve"/>
        </is>
      </c>
      <c r="P609" s="0" t="inlineStr">
        <is>
          <t xml:space="preserve"/>
        </is>
      </c>
      <c r="Q609" s="0" t="inlineStr">
        <is>
          <t xml:space="preserve"/>
        </is>
      </c>
      <c r="R609" s="0">
        <f>IF(D609="","",IFERROR(LOOKUP(2,1/(($D$2:$D$1001=D609)*($M$2:$M$1001="win")),$L$2:$L$1001),""))</f>
      </c>
      <c r="S609" s="0" t="inlineStr">
        <is>
          <t xml:space="preserve"/>
        </is>
      </c>
      <c r="T609" s="0" t="inlineStr">
        <is>
          <t xml:space="preserve"/>
        </is>
      </c>
      <c r="U609" s="0" t="inlineStr">
        <is>
          <t xml:space="preserve"/>
        </is>
      </c>
      <c r="V609" s="0" t="inlineStr">
        <is>
          <t xml:space="preserve"/>
        </is>
      </c>
      <c r="W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 t="inlineStr">
        <is>
          <t xml:space="preserve"/>
        </is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>
        <f>IF(E610="","",IF(OR(ISNUMBER(SEARCH("狼",E610)),ISNUMBER(SEARCH("石像鬼",E610)),ISNUMBER(SEARCH("恶灵骑士",E610)),ISNUMBER(SEARCH("黑蝙蝠",E610)),ISNUMBER(SEARCH("血月使徒",E610))),"werewolves","villagers"))</f>
      </c>
      <c r="M610" s="0">
        <f>IF(F610="","",IF(ROUND(F610,2)=5,"win","loss"))</f>
      </c>
      <c r="N610" s="0" t="inlineStr">
        <is>
          <t xml:space="preserve"/>
        </is>
      </c>
      <c r="O610" s="0" t="inlineStr">
        <is>
          <t xml:space="preserve"/>
        </is>
      </c>
      <c r="P610" s="0" t="inlineStr">
        <is>
          <t xml:space="preserve"/>
        </is>
      </c>
      <c r="Q610" s="0" t="inlineStr">
        <is>
          <t xml:space="preserve"/>
        </is>
      </c>
      <c r="R610" s="0">
        <f>IF(D610="","",IFERROR(LOOKUP(2,1/(($D$2:$D$1001=D610)*($M$2:$M$1001="win")),$L$2:$L$1001),""))</f>
      </c>
      <c r="S610" s="0" t="inlineStr">
        <is>
          <t xml:space="preserve"/>
        </is>
      </c>
      <c r="T610" s="0" t="inlineStr">
        <is>
          <t xml:space="preserve"/>
        </is>
      </c>
      <c r="U610" s="0" t="inlineStr">
        <is>
          <t xml:space="preserve"/>
        </is>
      </c>
      <c r="V610" s="0" t="inlineStr">
        <is>
          <t xml:space="preserve"/>
        </is>
      </c>
      <c r="W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 t="inlineStr">
        <is>
          <t xml:space="preserve"/>
        </is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>
        <f>IF(E611="","",IF(OR(ISNUMBER(SEARCH("狼",E611)),ISNUMBER(SEARCH("石像鬼",E611)),ISNUMBER(SEARCH("恶灵骑士",E611)),ISNUMBER(SEARCH("黑蝙蝠",E611)),ISNUMBER(SEARCH("血月使徒",E611))),"werewolves","villagers"))</f>
      </c>
      <c r="M611" s="0">
        <f>IF(F611="","",IF(ROUND(F611,2)=5,"win","loss"))</f>
      </c>
      <c r="N611" s="0" t="inlineStr">
        <is>
          <t xml:space="preserve"/>
        </is>
      </c>
      <c r="O611" s="0" t="inlineStr">
        <is>
          <t xml:space="preserve"/>
        </is>
      </c>
      <c r="P611" s="0" t="inlineStr">
        <is>
          <t xml:space="preserve"/>
        </is>
      </c>
      <c r="Q611" s="0" t="inlineStr">
        <is>
          <t xml:space="preserve"/>
        </is>
      </c>
      <c r="R611" s="0">
        <f>IF(D611="","",IFERROR(LOOKUP(2,1/(($D$2:$D$1001=D611)*($M$2:$M$1001="win")),$L$2:$L$1001),""))</f>
      </c>
      <c r="S611" s="0" t="inlineStr">
        <is>
          <t xml:space="preserve"/>
        </is>
      </c>
      <c r="T611" s="0" t="inlineStr">
        <is>
          <t xml:space="preserve"/>
        </is>
      </c>
      <c r="U611" s="0" t="inlineStr">
        <is>
          <t xml:space="preserve"/>
        </is>
      </c>
      <c r="V611" s="0" t="inlineStr">
        <is>
          <t xml:space="preserve"/>
        </is>
      </c>
      <c r="W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 t="inlineStr">
        <is>
          <t xml:space="preserve"/>
        </is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>
        <f>IF(E612="","",IF(OR(ISNUMBER(SEARCH("狼",E612)),ISNUMBER(SEARCH("石像鬼",E612)),ISNUMBER(SEARCH("恶灵骑士",E612)),ISNUMBER(SEARCH("黑蝙蝠",E612)),ISNUMBER(SEARCH("血月使徒",E612))),"werewolves","villagers"))</f>
      </c>
      <c r="M612" s="0">
        <f>IF(F612="","",IF(ROUND(F612,2)=5,"win","loss"))</f>
      </c>
      <c r="N612" s="0" t="inlineStr">
        <is>
          <t xml:space="preserve"/>
        </is>
      </c>
      <c r="O612" s="0" t="inlineStr">
        <is>
          <t xml:space="preserve"/>
        </is>
      </c>
      <c r="P612" s="0" t="inlineStr">
        <is>
          <t xml:space="preserve"/>
        </is>
      </c>
      <c r="Q612" s="0" t="inlineStr">
        <is>
          <t xml:space="preserve"/>
        </is>
      </c>
      <c r="R612" s="0">
        <f>IF(D612="","",IFERROR(LOOKUP(2,1/(($D$2:$D$1001=D612)*($M$2:$M$1001="win")),$L$2:$L$1001),""))</f>
      </c>
      <c r="S612" s="0" t="inlineStr">
        <is>
          <t xml:space="preserve"/>
        </is>
      </c>
      <c r="T612" s="0" t="inlineStr">
        <is>
          <t xml:space="preserve"/>
        </is>
      </c>
      <c r="U612" s="0" t="inlineStr">
        <is>
          <t xml:space="preserve"/>
        </is>
      </c>
      <c r="V612" s="0" t="inlineStr">
        <is>
          <t xml:space="preserve"/>
        </is>
      </c>
      <c r="W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>
        <f>IF(E613="","",IF(OR(ISNUMBER(SEARCH("狼",E613)),ISNUMBER(SEARCH("石像鬼",E613)),ISNUMBER(SEARCH("恶灵骑士",E613)),ISNUMBER(SEARCH("黑蝙蝠",E613)),ISNUMBER(SEARCH("血月使徒",E613))),"werewolves","villagers"))</f>
      </c>
      <c r="M613" s="0">
        <f>IF(F613="","",IF(ROUND(F613,2)=5,"win","loss"))</f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>
        <f>IF(D613="","",IFERROR(LOOKUP(2,1/(($D$2:$D$1001=D613)*($M$2:$M$1001="win")),$L$2:$L$1001),""))</f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 t="inlineStr">
        <is>
          <t xml:space="preserve"/>
        </is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>
        <f>IF(E614="","",IF(OR(ISNUMBER(SEARCH("狼",E614)),ISNUMBER(SEARCH("石像鬼",E614)),ISNUMBER(SEARCH("恶灵骑士",E614)),ISNUMBER(SEARCH("黑蝙蝠",E614)),ISNUMBER(SEARCH("血月使徒",E614))),"werewolves","villagers"))</f>
      </c>
      <c r="M614" s="0">
        <f>IF(F614="","",IF(ROUND(F614,2)=5,"win","loss"))</f>
      </c>
      <c r="N614" s="0" t="inlineStr">
        <is>
          <t xml:space="preserve"/>
        </is>
      </c>
      <c r="O614" s="0" t="inlineStr">
        <is>
          <t xml:space="preserve"/>
        </is>
      </c>
      <c r="P614" s="0" t="inlineStr">
        <is>
          <t xml:space="preserve"/>
        </is>
      </c>
      <c r="Q614" s="0" t="inlineStr">
        <is>
          <t xml:space="preserve"/>
        </is>
      </c>
      <c r="R614" s="0">
        <f>IF(D614="","",IFERROR(LOOKUP(2,1/(($D$2:$D$1001=D614)*($M$2:$M$1001="win")),$L$2:$L$1001),""))</f>
      </c>
      <c r="S614" s="0" t="inlineStr">
        <is>
          <t xml:space="preserve"/>
        </is>
      </c>
      <c r="T614" s="0" t="inlineStr">
        <is>
          <t xml:space="preserve"/>
        </is>
      </c>
      <c r="U614" s="0" t="inlineStr">
        <is>
          <t xml:space="preserve"/>
        </is>
      </c>
      <c r="V614" s="0" t="inlineStr">
        <is>
          <t xml:space="preserve"/>
        </is>
      </c>
      <c r="W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 t="inlineStr">
        <is>
          <t xml:space="preserve"/>
        </is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>
        <f>IF(E615="","",IF(OR(ISNUMBER(SEARCH("狼",E615)),ISNUMBER(SEARCH("石像鬼",E615)),ISNUMBER(SEARCH("恶灵骑士",E615)),ISNUMBER(SEARCH("黑蝙蝠",E615)),ISNUMBER(SEARCH("血月使徒",E615))),"werewolves","villagers"))</f>
      </c>
      <c r="M615" s="0">
        <f>IF(F615="","",IF(ROUND(F615,2)=5,"win","loss"))</f>
      </c>
      <c r="N615" s="0" t="inlineStr">
        <is>
          <t xml:space="preserve"/>
        </is>
      </c>
      <c r="O615" s="0" t="inlineStr">
        <is>
          <t xml:space="preserve"/>
        </is>
      </c>
      <c r="P615" s="0" t="inlineStr">
        <is>
          <t xml:space="preserve"/>
        </is>
      </c>
      <c r="Q615" s="0" t="inlineStr">
        <is>
          <t xml:space="preserve"/>
        </is>
      </c>
      <c r="R615" s="0">
        <f>IF(D615="","",IFERROR(LOOKUP(2,1/(($D$2:$D$1001=D615)*($M$2:$M$1001="win")),$L$2:$L$1001),""))</f>
      </c>
      <c r="S615" s="0" t="inlineStr">
        <is>
          <t xml:space="preserve"/>
        </is>
      </c>
      <c r="T615" s="0" t="inlineStr">
        <is>
          <t xml:space="preserve"/>
        </is>
      </c>
      <c r="U615" s="0" t="inlineStr">
        <is>
          <t xml:space="preserve"/>
        </is>
      </c>
      <c r="V615" s="0" t="inlineStr">
        <is>
          <t xml:space="preserve"/>
        </is>
      </c>
      <c r="W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 t="inlineStr">
        <is>
          <t xml:space="preserve"/>
        </is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>
        <f>IF(E616="","",IF(OR(ISNUMBER(SEARCH("狼",E616)),ISNUMBER(SEARCH("石像鬼",E616)),ISNUMBER(SEARCH("恶灵骑士",E616)),ISNUMBER(SEARCH("黑蝙蝠",E616)),ISNUMBER(SEARCH("血月使徒",E616))),"werewolves","villagers"))</f>
      </c>
      <c r="M616" s="0">
        <f>IF(F616="","",IF(ROUND(F616,2)=5,"win","loss"))</f>
      </c>
      <c r="N616" s="0" t="inlineStr">
        <is>
          <t xml:space="preserve"/>
        </is>
      </c>
      <c r="O616" s="0" t="inlineStr">
        <is>
          <t xml:space="preserve"/>
        </is>
      </c>
      <c r="P616" s="0" t="inlineStr">
        <is>
          <t xml:space="preserve"/>
        </is>
      </c>
      <c r="Q616" s="0" t="inlineStr">
        <is>
          <t xml:space="preserve"/>
        </is>
      </c>
      <c r="R616" s="0">
        <f>IF(D616="","",IFERROR(LOOKUP(2,1/(($D$2:$D$1001=D616)*($M$2:$M$1001="win")),$L$2:$L$1001),""))</f>
      </c>
      <c r="S616" s="0" t="inlineStr">
        <is>
          <t xml:space="preserve"/>
        </is>
      </c>
      <c r="T616" s="0" t="inlineStr">
        <is>
          <t xml:space="preserve"/>
        </is>
      </c>
      <c r="U616" s="0" t="inlineStr">
        <is>
          <t xml:space="preserve"/>
        </is>
      </c>
      <c r="V616" s="0" t="inlineStr">
        <is>
          <t xml:space="preserve"/>
        </is>
      </c>
      <c r="W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>
        <f>IF(E617="","",IF(OR(ISNUMBER(SEARCH("狼",E617)),ISNUMBER(SEARCH("石像鬼",E617)),ISNUMBER(SEARCH("恶灵骑士",E617)),ISNUMBER(SEARCH("黑蝙蝠",E617)),ISNUMBER(SEARCH("血月使徒",E617))),"werewolves","villagers"))</f>
      </c>
      <c r="M617" s="0">
        <f>IF(F617="","",IF(ROUND(F617,2)=5,"win","loss"))</f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>
        <f>IF(D617="","",IFERROR(LOOKUP(2,1/(($D$2:$D$1001=D617)*($M$2:$M$1001="win")),$L$2:$L$1001),""))</f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 t="inlineStr">
        <is>
          <t xml:space="preserve"/>
        </is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>
        <f>IF(E618="","",IF(OR(ISNUMBER(SEARCH("狼",E618)),ISNUMBER(SEARCH("石像鬼",E618)),ISNUMBER(SEARCH("恶灵骑士",E618)),ISNUMBER(SEARCH("黑蝙蝠",E618)),ISNUMBER(SEARCH("血月使徒",E618))),"werewolves","villagers"))</f>
      </c>
      <c r="M618" s="0">
        <f>IF(F618="","",IF(ROUND(F618,2)=5,"win","loss"))</f>
      </c>
      <c r="N618" s="0" t="inlineStr">
        <is>
          <t xml:space="preserve"/>
        </is>
      </c>
      <c r="O618" s="0" t="inlineStr">
        <is>
          <t xml:space="preserve"/>
        </is>
      </c>
      <c r="P618" s="0" t="inlineStr">
        <is>
          <t xml:space="preserve"/>
        </is>
      </c>
      <c r="Q618" s="0" t="inlineStr">
        <is>
          <t xml:space="preserve"/>
        </is>
      </c>
      <c r="R618" s="0">
        <f>IF(D618="","",IFERROR(LOOKUP(2,1/(($D$2:$D$1001=D618)*($M$2:$M$1001="win")),$L$2:$L$1001),""))</f>
      </c>
      <c r="S618" s="0" t="inlineStr">
        <is>
          <t xml:space="preserve"/>
        </is>
      </c>
      <c r="T618" s="0" t="inlineStr">
        <is>
          <t xml:space="preserve"/>
        </is>
      </c>
      <c r="U618" s="0" t="inlineStr">
        <is>
          <t xml:space="preserve"/>
        </is>
      </c>
      <c r="V618" s="0" t="inlineStr">
        <is>
          <t xml:space="preserve"/>
        </is>
      </c>
      <c r="W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 t="inlineStr">
        <is>
          <t xml:space="preserve"/>
        </is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>
        <f>IF(E619="","",IF(OR(ISNUMBER(SEARCH("狼",E619)),ISNUMBER(SEARCH("石像鬼",E619)),ISNUMBER(SEARCH("恶灵骑士",E619)),ISNUMBER(SEARCH("黑蝙蝠",E619)),ISNUMBER(SEARCH("血月使徒",E619))),"werewolves","villagers"))</f>
      </c>
      <c r="M619" s="0">
        <f>IF(F619="","",IF(ROUND(F619,2)=5,"win","loss"))</f>
      </c>
      <c r="N619" s="0" t="inlineStr">
        <is>
          <t xml:space="preserve"/>
        </is>
      </c>
      <c r="O619" s="0" t="inlineStr">
        <is>
          <t xml:space="preserve"/>
        </is>
      </c>
      <c r="P619" s="0" t="inlineStr">
        <is>
          <t xml:space="preserve"/>
        </is>
      </c>
      <c r="Q619" s="0" t="inlineStr">
        <is>
          <t xml:space="preserve"/>
        </is>
      </c>
      <c r="R619" s="0">
        <f>IF(D619="","",IFERROR(LOOKUP(2,1/(($D$2:$D$1001=D619)*($M$2:$M$1001="win")),$L$2:$L$1001),""))</f>
      </c>
      <c r="S619" s="0" t="inlineStr">
        <is>
          <t xml:space="preserve"/>
        </is>
      </c>
      <c r="T619" s="0" t="inlineStr">
        <is>
          <t xml:space="preserve"/>
        </is>
      </c>
      <c r="U619" s="0" t="inlineStr">
        <is>
          <t xml:space="preserve"/>
        </is>
      </c>
      <c r="V619" s="0" t="inlineStr">
        <is>
          <t xml:space="preserve"/>
        </is>
      </c>
      <c r="W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 t="inlineStr">
        <is>
          <t xml:space="preserve"/>
        </is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>
        <f>IF(E620="","",IF(OR(ISNUMBER(SEARCH("狼",E620)),ISNUMBER(SEARCH("石像鬼",E620)),ISNUMBER(SEARCH("恶灵骑士",E620)),ISNUMBER(SEARCH("黑蝙蝠",E620)),ISNUMBER(SEARCH("血月使徒",E620))),"werewolves","villagers"))</f>
      </c>
      <c r="M620" s="0">
        <f>IF(F620="","",IF(ROUND(F620,2)=5,"win","loss"))</f>
      </c>
      <c r="N620" s="0" t="inlineStr">
        <is>
          <t xml:space="preserve"/>
        </is>
      </c>
      <c r="O620" s="0" t="inlineStr">
        <is>
          <t xml:space="preserve"/>
        </is>
      </c>
      <c r="P620" s="0" t="inlineStr">
        <is>
          <t xml:space="preserve"/>
        </is>
      </c>
      <c r="Q620" s="0" t="inlineStr">
        <is>
          <t xml:space="preserve"/>
        </is>
      </c>
      <c r="R620" s="0">
        <f>IF(D620="","",IFERROR(LOOKUP(2,1/(($D$2:$D$1001=D620)*($M$2:$M$1001="win")),$L$2:$L$1001),""))</f>
      </c>
      <c r="S620" s="0" t="inlineStr">
        <is>
          <t xml:space="preserve"/>
        </is>
      </c>
      <c r="T620" s="0" t="inlineStr">
        <is>
          <t xml:space="preserve"/>
        </is>
      </c>
      <c r="U620" s="0" t="inlineStr">
        <is>
          <t xml:space="preserve"/>
        </is>
      </c>
      <c r="V620" s="0" t="inlineStr">
        <is>
          <t xml:space="preserve"/>
        </is>
      </c>
      <c r="W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>
        <f>IF(E621="","",IF(OR(ISNUMBER(SEARCH("狼",E621)),ISNUMBER(SEARCH("石像鬼",E621)),ISNUMBER(SEARCH("恶灵骑士",E621)),ISNUMBER(SEARCH("黑蝙蝠",E621)),ISNUMBER(SEARCH("血月使徒",E621))),"werewolves","villagers"))</f>
      </c>
      <c r="M621" s="0">
        <f>IF(F621="","",IF(ROUND(F621,2)=5,"win","loss"))</f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>
        <f>IF(D621="","",IFERROR(LOOKUP(2,1/(($D$2:$D$1001=D621)*($M$2:$M$1001="win")),$L$2:$L$1001),""))</f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 t="inlineStr">
        <is>
          <t xml:space="preserve"/>
        </is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>
        <f>IF(E622="","",IF(OR(ISNUMBER(SEARCH("狼",E622)),ISNUMBER(SEARCH("石像鬼",E622)),ISNUMBER(SEARCH("恶灵骑士",E622)),ISNUMBER(SEARCH("黑蝙蝠",E622)),ISNUMBER(SEARCH("血月使徒",E622))),"werewolves","villagers"))</f>
      </c>
      <c r="M622" s="0">
        <f>IF(F622="","",IF(ROUND(F622,2)=5,"win","loss"))</f>
      </c>
      <c r="N622" s="0" t="inlineStr">
        <is>
          <t xml:space="preserve"/>
        </is>
      </c>
      <c r="O622" s="0" t="inlineStr">
        <is>
          <t xml:space="preserve"/>
        </is>
      </c>
      <c r="P622" s="0" t="inlineStr">
        <is>
          <t xml:space="preserve"/>
        </is>
      </c>
      <c r="Q622" s="0" t="inlineStr">
        <is>
          <t xml:space="preserve"/>
        </is>
      </c>
      <c r="R622" s="0">
        <f>IF(D622="","",IFERROR(LOOKUP(2,1/(($D$2:$D$1001=D622)*($M$2:$M$1001="win")),$L$2:$L$1001),""))</f>
      </c>
      <c r="S622" s="0" t="inlineStr">
        <is>
          <t xml:space="preserve"/>
        </is>
      </c>
      <c r="T622" s="0" t="inlineStr">
        <is>
          <t xml:space="preserve"/>
        </is>
      </c>
      <c r="U622" s="0" t="inlineStr">
        <is>
          <t xml:space="preserve"/>
        </is>
      </c>
      <c r="V622" s="0" t="inlineStr">
        <is>
          <t xml:space="preserve"/>
        </is>
      </c>
      <c r="W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>
        <f>IF(E623="","",IF(OR(ISNUMBER(SEARCH("狼",E623)),ISNUMBER(SEARCH("石像鬼",E623)),ISNUMBER(SEARCH("恶灵骑士",E623)),ISNUMBER(SEARCH("黑蝙蝠",E623)),ISNUMBER(SEARCH("血月使徒",E623))),"werewolves","villagers"))</f>
      </c>
      <c r="M623" s="0">
        <f>IF(F623="","",IF(ROUND(F623,2)=5,"win","loss"))</f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>
        <f>IF(D623="","",IFERROR(LOOKUP(2,1/(($D$2:$D$1001=D623)*($M$2:$M$1001="win")),$L$2:$L$1001),""))</f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>
        <f>IF(E624="","",IF(OR(ISNUMBER(SEARCH("狼",E624)),ISNUMBER(SEARCH("石像鬼",E624)),ISNUMBER(SEARCH("恶灵骑士",E624)),ISNUMBER(SEARCH("黑蝙蝠",E624)),ISNUMBER(SEARCH("血月使徒",E624))),"werewolves","villagers"))</f>
      </c>
      <c r="M624" s="0">
        <f>IF(F624="","",IF(ROUND(F624,2)=5,"win","loss"))</f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>
        <f>IF(D624="","",IFERROR(LOOKUP(2,1/(($D$2:$D$1001=D624)*($M$2:$M$1001="win")),$L$2:$L$1001),""))</f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 t="inlineStr">
        <is>
          <t xml:space="preserve"/>
        </is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>
        <f>IF(E625="","",IF(OR(ISNUMBER(SEARCH("狼",E625)),ISNUMBER(SEARCH("石像鬼",E625)),ISNUMBER(SEARCH("恶灵骑士",E625)),ISNUMBER(SEARCH("黑蝙蝠",E625)),ISNUMBER(SEARCH("血月使徒",E625))),"werewolves","villagers"))</f>
      </c>
      <c r="M625" s="0">
        <f>IF(F625="","",IF(ROUND(F625,2)=5,"win","loss"))</f>
      </c>
      <c r="N625" s="0" t="inlineStr">
        <is>
          <t xml:space="preserve"/>
        </is>
      </c>
      <c r="O625" s="0" t="inlineStr">
        <is>
          <t xml:space="preserve"/>
        </is>
      </c>
      <c r="P625" s="0" t="inlineStr">
        <is>
          <t xml:space="preserve"/>
        </is>
      </c>
      <c r="Q625" s="0" t="inlineStr">
        <is>
          <t xml:space="preserve"/>
        </is>
      </c>
      <c r="R625" s="0">
        <f>IF(D625="","",IFERROR(LOOKUP(2,1/(($D$2:$D$1001=D625)*($M$2:$M$1001="win")),$L$2:$L$1001),""))</f>
      </c>
      <c r="S625" s="0" t="inlineStr">
        <is>
          <t xml:space="preserve"/>
        </is>
      </c>
      <c r="T625" s="0" t="inlineStr">
        <is>
          <t xml:space="preserve"/>
        </is>
      </c>
      <c r="U625" s="0" t="inlineStr">
        <is>
          <t xml:space="preserve"/>
        </is>
      </c>
      <c r="V625" s="0" t="inlineStr">
        <is>
          <t xml:space="preserve"/>
        </is>
      </c>
      <c r="W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 t="inlineStr">
        <is>
          <t xml:space="preserve"/>
        </is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>
        <f>IF(E626="","",IF(OR(ISNUMBER(SEARCH("狼",E626)),ISNUMBER(SEARCH("石像鬼",E626)),ISNUMBER(SEARCH("恶灵骑士",E626)),ISNUMBER(SEARCH("黑蝙蝠",E626)),ISNUMBER(SEARCH("血月使徒",E626))),"werewolves","villagers"))</f>
      </c>
      <c r="M626" s="0">
        <f>IF(F626="","",IF(ROUND(F626,2)=5,"win","loss"))</f>
      </c>
      <c r="N626" s="0" t="inlineStr">
        <is>
          <t xml:space="preserve"/>
        </is>
      </c>
      <c r="O626" s="0" t="inlineStr">
        <is>
          <t xml:space="preserve"/>
        </is>
      </c>
      <c r="P626" s="0" t="inlineStr">
        <is>
          <t xml:space="preserve"/>
        </is>
      </c>
      <c r="Q626" s="0" t="inlineStr">
        <is>
          <t xml:space="preserve"/>
        </is>
      </c>
      <c r="R626" s="0">
        <f>IF(D626="","",IFERROR(LOOKUP(2,1/(($D$2:$D$1001=D626)*($M$2:$M$1001="win")),$L$2:$L$1001),""))</f>
      </c>
      <c r="S626" s="0" t="inlineStr">
        <is>
          <t xml:space="preserve"/>
        </is>
      </c>
      <c r="T626" s="0" t="inlineStr">
        <is>
          <t xml:space="preserve"/>
        </is>
      </c>
      <c r="U626" s="0" t="inlineStr">
        <is>
          <t xml:space="preserve"/>
        </is>
      </c>
      <c r="V626" s="0" t="inlineStr">
        <is>
          <t xml:space="preserve"/>
        </is>
      </c>
      <c r="W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>
        <f>IF(E627="","",IF(OR(ISNUMBER(SEARCH("狼",E627)),ISNUMBER(SEARCH("石像鬼",E627)),ISNUMBER(SEARCH("恶灵骑士",E627)),ISNUMBER(SEARCH("黑蝙蝠",E627)),ISNUMBER(SEARCH("血月使徒",E627))),"werewolves","villagers"))</f>
      </c>
      <c r="M627" s="0">
        <f>IF(F627="","",IF(ROUND(F627,2)=5,"win","loss"))</f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>
        <f>IF(D627="","",IFERROR(LOOKUP(2,1/(($D$2:$D$1001=D627)*($M$2:$M$1001="win")),$L$2:$L$1001),""))</f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>
        <f>IF(E628="","",IF(OR(ISNUMBER(SEARCH("狼",E628)),ISNUMBER(SEARCH("石像鬼",E628)),ISNUMBER(SEARCH("恶灵骑士",E628)),ISNUMBER(SEARCH("黑蝙蝠",E628)),ISNUMBER(SEARCH("血月使徒",E628))),"werewolves","villagers"))</f>
      </c>
      <c r="M628" s="0">
        <f>IF(F628="","",IF(ROUND(F628,2)=5,"win","loss"))</f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>
        <f>IF(D628="","",IFERROR(LOOKUP(2,1/(($D$2:$D$1001=D628)*($M$2:$M$1001="win")),$L$2:$L$1001),""))</f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 t="inlineStr">
        <is>
          <t xml:space="preserve"/>
        </is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>
        <f>IF(E629="","",IF(OR(ISNUMBER(SEARCH("狼",E629)),ISNUMBER(SEARCH("石像鬼",E629)),ISNUMBER(SEARCH("恶灵骑士",E629)),ISNUMBER(SEARCH("黑蝙蝠",E629)),ISNUMBER(SEARCH("血月使徒",E629))),"werewolves","villagers"))</f>
      </c>
      <c r="M629" s="0">
        <f>IF(F629="","",IF(ROUND(F629,2)=5,"win","loss"))</f>
      </c>
      <c r="N629" s="0" t="inlineStr">
        <is>
          <t xml:space="preserve"/>
        </is>
      </c>
      <c r="O629" s="0" t="inlineStr">
        <is>
          <t xml:space="preserve"/>
        </is>
      </c>
      <c r="P629" s="0" t="inlineStr">
        <is>
          <t xml:space="preserve"/>
        </is>
      </c>
      <c r="Q629" s="0" t="inlineStr">
        <is>
          <t xml:space="preserve"/>
        </is>
      </c>
      <c r="R629" s="0">
        <f>IF(D629="","",IFERROR(LOOKUP(2,1/(($D$2:$D$1001=D629)*($M$2:$M$1001="win")),$L$2:$L$1001),""))</f>
      </c>
      <c r="S629" s="0" t="inlineStr">
        <is>
          <t xml:space="preserve"/>
        </is>
      </c>
      <c r="T629" s="0" t="inlineStr">
        <is>
          <t xml:space="preserve"/>
        </is>
      </c>
      <c r="U629" s="0" t="inlineStr">
        <is>
          <t xml:space="preserve"/>
        </is>
      </c>
      <c r="V629" s="0" t="inlineStr">
        <is>
          <t xml:space="preserve"/>
        </is>
      </c>
      <c r="W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 t="inlineStr">
        <is>
          <t xml:space="preserve"/>
        </is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>
        <f>IF(E630="","",IF(OR(ISNUMBER(SEARCH("狼",E630)),ISNUMBER(SEARCH("石像鬼",E630)),ISNUMBER(SEARCH("恶灵骑士",E630)),ISNUMBER(SEARCH("黑蝙蝠",E630)),ISNUMBER(SEARCH("血月使徒",E630))),"werewolves","villagers"))</f>
      </c>
      <c r="M630" s="0">
        <f>IF(F630="","",IF(ROUND(F630,2)=5,"win","loss"))</f>
      </c>
      <c r="N630" s="0" t="inlineStr">
        <is>
          <t xml:space="preserve"/>
        </is>
      </c>
      <c r="O630" s="0" t="inlineStr">
        <is>
          <t xml:space="preserve"/>
        </is>
      </c>
      <c r="P630" s="0" t="inlineStr">
        <is>
          <t xml:space="preserve"/>
        </is>
      </c>
      <c r="Q630" s="0" t="inlineStr">
        <is>
          <t xml:space="preserve"/>
        </is>
      </c>
      <c r="R630" s="0">
        <f>IF(D630="","",IFERROR(LOOKUP(2,1/(($D$2:$D$1001=D630)*($M$2:$M$1001="win")),$L$2:$L$1001),""))</f>
      </c>
      <c r="S630" s="0" t="inlineStr">
        <is>
          <t xml:space="preserve"/>
        </is>
      </c>
      <c r="T630" s="0" t="inlineStr">
        <is>
          <t xml:space="preserve"/>
        </is>
      </c>
      <c r="U630" s="0" t="inlineStr">
        <is>
          <t xml:space="preserve"/>
        </is>
      </c>
      <c r="V630" s="0" t="inlineStr">
        <is>
          <t xml:space="preserve"/>
        </is>
      </c>
      <c r="W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 t="inlineStr">
        <is>
          <t xml:space="preserve"/>
        </is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>
        <f>IF(E631="","",IF(OR(ISNUMBER(SEARCH("狼",E631)),ISNUMBER(SEARCH("石像鬼",E631)),ISNUMBER(SEARCH("恶灵骑士",E631)),ISNUMBER(SEARCH("黑蝙蝠",E631)),ISNUMBER(SEARCH("血月使徒",E631))),"werewolves","villagers"))</f>
      </c>
      <c r="M631" s="0">
        <f>IF(F631="","",IF(ROUND(F631,2)=5,"win","loss"))</f>
      </c>
      <c r="N631" s="0" t="inlineStr">
        <is>
          <t xml:space="preserve"/>
        </is>
      </c>
      <c r="O631" s="0" t="inlineStr">
        <is>
          <t xml:space="preserve"/>
        </is>
      </c>
      <c r="P631" s="0" t="inlineStr">
        <is>
          <t xml:space="preserve"/>
        </is>
      </c>
      <c r="Q631" s="0" t="inlineStr">
        <is>
          <t xml:space="preserve"/>
        </is>
      </c>
      <c r="R631" s="0">
        <f>IF(D631="","",IFERROR(LOOKUP(2,1/(($D$2:$D$1001=D631)*($M$2:$M$1001="win")),$L$2:$L$1001),""))</f>
      </c>
      <c r="S631" s="0" t="inlineStr">
        <is>
          <t xml:space="preserve"/>
        </is>
      </c>
      <c r="T631" s="0" t="inlineStr">
        <is>
          <t xml:space="preserve"/>
        </is>
      </c>
      <c r="U631" s="0" t="inlineStr">
        <is>
          <t xml:space="preserve"/>
        </is>
      </c>
      <c r="V631" s="0" t="inlineStr">
        <is>
          <t xml:space="preserve"/>
        </is>
      </c>
      <c r="W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 t="inlineStr">
        <is>
          <t xml:space="preserve"/>
        </is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>
        <f>IF(E632="","",IF(OR(ISNUMBER(SEARCH("狼",E632)),ISNUMBER(SEARCH("石像鬼",E632)),ISNUMBER(SEARCH("恶灵骑士",E632)),ISNUMBER(SEARCH("黑蝙蝠",E632)),ISNUMBER(SEARCH("血月使徒",E632))),"werewolves","villagers"))</f>
      </c>
      <c r="M632" s="0">
        <f>IF(F632="","",IF(ROUND(F632,2)=5,"win","loss"))</f>
      </c>
      <c r="N632" s="0" t="inlineStr">
        <is>
          <t xml:space="preserve"/>
        </is>
      </c>
      <c r="O632" s="0" t="inlineStr">
        <is>
          <t xml:space="preserve"/>
        </is>
      </c>
      <c r="P632" s="0" t="inlineStr">
        <is>
          <t xml:space="preserve"/>
        </is>
      </c>
      <c r="Q632" s="0" t="inlineStr">
        <is>
          <t xml:space="preserve"/>
        </is>
      </c>
      <c r="R632" s="0">
        <f>IF(D632="","",IFERROR(LOOKUP(2,1/(($D$2:$D$1001=D632)*($M$2:$M$1001="win")),$L$2:$L$1001),""))</f>
      </c>
      <c r="S632" s="0" t="inlineStr">
        <is>
          <t xml:space="preserve"/>
        </is>
      </c>
      <c r="T632" s="0" t="inlineStr">
        <is>
          <t xml:space="preserve"/>
        </is>
      </c>
      <c r="U632" s="0" t="inlineStr">
        <is>
          <t xml:space="preserve"/>
        </is>
      </c>
      <c r="V632" s="0" t="inlineStr">
        <is>
          <t xml:space="preserve"/>
        </is>
      </c>
      <c r="W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 t="inlineStr">
        <is>
          <t xml:space="preserve"/>
        </is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>
        <f>IF(E633="","",IF(OR(ISNUMBER(SEARCH("狼",E633)),ISNUMBER(SEARCH("石像鬼",E633)),ISNUMBER(SEARCH("恶灵骑士",E633)),ISNUMBER(SEARCH("黑蝙蝠",E633)),ISNUMBER(SEARCH("血月使徒",E633))),"werewolves","villagers"))</f>
      </c>
      <c r="M633" s="0">
        <f>IF(F633="","",IF(ROUND(F633,2)=5,"win","loss"))</f>
      </c>
      <c r="N633" s="0" t="inlineStr">
        <is>
          <t xml:space="preserve"/>
        </is>
      </c>
      <c r="O633" s="0" t="inlineStr">
        <is>
          <t xml:space="preserve"/>
        </is>
      </c>
      <c r="P633" s="0" t="inlineStr">
        <is>
          <t xml:space="preserve"/>
        </is>
      </c>
      <c r="Q633" s="0" t="inlineStr">
        <is>
          <t xml:space="preserve"/>
        </is>
      </c>
      <c r="R633" s="0">
        <f>IF(D633="","",IFERROR(LOOKUP(2,1/(($D$2:$D$1001=D633)*($M$2:$M$1001="win")),$L$2:$L$1001),""))</f>
      </c>
      <c r="S633" s="0" t="inlineStr">
        <is>
          <t xml:space="preserve"/>
        </is>
      </c>
      <c r="T633" s="0" t="inlineStr">
        <is>
          <t xml:space="preserve"/>
        </is>
      </c>
      <c r="U633" s="0" t="inlineStr">
        <is>
          <t xml:space="preserve"/>
        </is>
      </c>
      <c r="V633" s="0" t="inlineStr">
        <is>
          <t xml:space="preserve"/>
        </is>
      </c>
      <c r="W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 t="inlineStr">
        <is>
          <t xml:space="preserve"/>
        </is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>
        <f>IF(E634="","",IF(OR(ISNUMBER(SEARCH("狼",E634)),ISNUMBER(SEARCH("石像鬼",E634)),ISNUMBER(SEARCH("恶灵骑士",E634)),ISNUMBER(SEARCH("黑蝙蝠",E634)),ISNUMBER(SEARCH("血月使徒",E634))),"werewolves","villagers"))</f>
      </c>
      <c r="M634" s="0">
        <f>IF(F634="","",IF(ROUND(F634,2)=5,"win","loss"))</f>
      </c>
      <c r="N634" s="0" t="inlineStr">
        <is>
          <t xml:space="preserve"/>
        </is>
      </c>
      <c r="O634" s="0" t="inlineStr">
        <is>
          <t xml:space="preserve"/>
        </is>
      </c>
      <c r="P634" s="0" t="inlineStr">
        <is>
          <t xml:space="preserve"/>
        </is>
      </c>
      <c r="Q634" s="0" t="inlineStr">
        <is>
          <t xml:space="preserve"/>
        </is>
      </c>
      <c r="R634" s="0">
        <f>IF(D634="","",IFERROR(LOOKUP(2,1/(($D$2:$D$1001=D634)*($M$2:$M$1001="win")),$L$2:$L$1001),""))</f>
      </c>
      <c r="S634" s="0" t="inlineStr">
        <is>
          <t xml:space="preserve"/>
        </is>
      </c>
      <c r="T634" s="0" t="inlineStr">
        <is>
          <t xml:space="preserve"/>
        </is>
      </c>
      <c r="U634" s="0" t="inlineStr">
        <is>
          <t xml:space="preserve"/>
        </is>
      </c>
      <c r="V634" s="0" t="inlineStr">
        <is>
          <t xml:space="preserve"/>
        </is>
      </c>
      <c r="W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>
        <f>IF(E635="","",IF(OR(ISNUMBER(SEARCH("狼",E635)),ISNUMBER(SEARCH("石像鬼",E635)),ISNUMBER(SEARCH("恶灵骑士",E635)),ISNUMBER(SEARCH("黑蝙蝠",E635)),ISNUMBER(SEARCH("血月使徒",E635))),"werewolves","villagers"))</f>
      </c>
      <c r="M635" s="0">
        <f>IF(F635="","",IF(ROUND(F635,2)=5,"win","loss"))</f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>
        <f>IF(D635="","",IFERROR(LOOKUP(2,1/(($D$2:$D$1001=D635)*($M$2:$M$1001="win")),$L$2:$L$1001),""))</f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 t="inlineStr">
        <is>
          <t xml:space="preserve"/>
        </is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>
        <f>IF(E636="","",IF(OR(ISNUMBER(SEARCH("狼",E636)),ISNUMBER(SEARCH("石像鬼",E636)),ISNUMBER(SEARCH("恶灵骑士",E636)),ISNUMBER(SEARCH("黑蝙蝠",E636)),ISNUMBER(SEARCH("血月使徒",E636))),"werewolves","villagers"))</f>
      </c>
      <c r="M636" s="0">
        <f>IF(F636="","",IF(ROUND(F636,2)=5,"win","loss"))</f>
      </c>
      <c r="N636" s="0" t="inlineStr">
        <is>
          <t xml:space="preserve"/>
        </is>
      </c>
      <c r="O636" s="0" t="inlineStr">
        <is>
          <t xml:space="preserve"/>
        </is>
      </c>
      <c r="P636" s="0" t="inlineStr">
        <is>
          <t xml:space="preserve"/>
        </is>
      </c>
      <c r="Q636" s="0" t="inlineStr">
        <is>
          <t xml:space="preserve"/>
        </is>
      </c>
      <c r="R636" s="0">
        <f>IF(D636="","",IFERROR(LOOKUP(2,1/(($D$2:$D$1001=D636)*($M$2:$M$1001="win")),$L$2:$L$1001),""))</f>
      </c>
      <c r="S636" s="0" t="inlineStr">
        <is>
          <t xml:space="preserve"/>
        </is>
      </c>
      <c r="T636" s="0" t="inlineStr">
        <is>
          <t xml:space="preserve"/>
        </is>
      </c>
      <c r="U636" s="0" t="inlineStr">
        <is>
          <t xml:space="preserve"/>
        </is>
      </c>
      <c r="V636" s="0" t="inlineStr">
        <is>
          <t xml:space="preserve"/>
        </is>
      </c>
      <c r="W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 t="inlineStr">
        <is>
          <t xml:space="preserve"/>
        </is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>
        <f>IF(E637="","",IF(OR(ISNUMBER(SEARCH("狼",E637)),ISNUMBER(SEARCH("石像鬼",E637)),ISNUMBER(SEARCH("恶灵骑士",E637)),ISNUMBER(SEARCH("黑蝙蝠",E637)),ISNUMBER(SEARCH("血月使徒",E637))),"werewolves","villagers"))</f>
      </c>
      <c r="M637" s="0">
        <f>IF(F637="","",IF(ROUND(F637,2)=5,"win","loss"))</f>
      </c>
      <c r="N637" s="0" t="inlineStr">
        <is>
          <t xml:space="preserve"/>
        </is>
      </c>
      <c r="O637" s="0" t="inlineStr">
        <is>
          <t xml:space="preserve"/>
        </is>
      </c>
      <c r="P637" s="0" t="inlineStr">
        <is>
          <t xml:space="preserve"/>
        </is>
      </c>
      <c r="Q637" s="0" t="inlineStr">
        <is>
          <t xml:space="preserve"/>
        </is>
      </c>
      <c r="R637" s="0">
        <f>IF(D637="","",IFERROR(LOOKUP(2,1/(($D$2:$D$1001=D637)*($M$2:$M$1001="win")),$L$2:$L$1001),""))</f>
      </c>
      <c r="S637" s="0" t="inlineStr">
        <is>
          <t xml:space="preserve"/>
        </is>
      </c>
      <c r="T637" s="0" t="inlineStr">
        <is>
          <t xml:space="preserve"/>
        </is>
      </c>
      <c r="U637" s="0" t="inlineStr">
        <is>
          <t xml:space="preserve"/>
        </is>
      </c>
      <c r="V637" s="0" t="inlineStr">
        <is>
          <t xml:space="preserve"/>
        </is>
      </c>
      <c r="W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 t="inlineStr">
        <is>
          <t xml:space="preserve"/>
        </is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>
        <f>IF(E638="","",IF(OR(ISNUMBER(SEARCH("狼",E638)),ISNUMBER(SEARCH("石像鬼",E638)),ISNUMBER(SEARCH("恶灵骑士",E638)),ISNUMBER(SEARCH("黑蝙蝠",E638)),ISNUMBER(SEARCH("血月使徒",E638))),"werewolves","villagers"))</f>
      </c>
      <c r="M638" s="0">
        <f>IF(F638="","",IF(ROUND(F638,2)=5,"win","loss"))</f>
      </c>
      <c r="N638" s="0" t="inlineStr">
        <is>
          <t xml:space="preserve"/>
        </is>
      </c>
      <c r="O638" s="0" t="inlineStr">
        <is>
          <t xml:space="preserve"/>
        </is>
      </c>
      <c r="P638" s="0" t="inlineStr">
        <is>
          <t xml:space="preserve"/>
        </is>
      </c>
      <c r="Q638" s="0" t="inlineStr">
        <is>
          <t xml:space="preserve"/>
        </is>
      </c>
      <c r="R638" s="0">
        <f>IF(D638="","",IFERROR(LOOKUP(2,1/(($D$2:$D$1001=D638)*($M$2:$M$1001="win")),$L$2:$L$1001),""))</f>
      </c>
      <c r="S638" s="0" t="inlineStr">
        <is>
          <t xml:space="preserve"/>
        </is>
      </c>
      <c r="T638" s="0" t="inlineStr">
        <is>
          <t xml:space="preserve"/>
        </is>
      </c>
      <c r="U638" s="0" t="inlineStr">
        <is>
          <t xml:space="preserve"/>
        </is>
      </c>
      <c r="V638" s="0" t="inlineStr">
        <is>
          <t xml:space="preserve"/>
        </is>
      </c>
      <c r="W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 t="inlineStr">
        <is>
          <t xml:space="preserve"/>
        </is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>
        <f>IF(E639="","",IF(OR(ISNUMBER(SEARCH("狼",E639)),ISNUMBER(SEARCH("石像鬼",E639)),ISNUMBER(SEARCH("恶灵骑士",E639)),ISNUMBER(SEARCH("黑蝙蝠",E639)),ISNUMBER(SEARCH("血月使徒",E639))),"werewolves","villagers"))</f>
      </c>
      <c r="M639" s="0">
        <f>IF(F639="","",IF(ROUND(F639,2)=5,"win","loss"))</f>
      </c>
      <c r="N639" s="0" t="inlineStr">
        <is>
          <t xml:space="preserve"/>
        </is>
      </c>
      <c r="O639" s="0" t="inlineStr">
        <is>
          <t xml:space="preserve"/>
        </is>
      </c>
      <c r="P639" s="0" t="inlineStr">
        <is>
          <t xml:space="preserve"/>
        </is>
      </c>
      <c r="Q639" s="0" t="inlineStr">
        <is>
          <t xml:space="preserve"/>
        </is>
      </c>
      <c r="R639" s="0">
        <f>IF(D639="","",IFERROR(LOOKUP(2,1/(($D$2:$D$1001=D639)*($M$2:$M$1001="win")),$L$2:$L$1001),""))</f>
      </c>
      <c r="S639" s="0" t="inlineStr">
        <is>
          <t xml:space="preserve"/>
        </is>
      </c>
      <c r="T639" s="0" t="inlineStr">
        <is>
          <t xml:space="preserve"/>
        </is>
      </c>
      <c r="U639" s="0" t="inlineStr">
        <is>
          <t xml:space="preserve"/>
        </is>
      </c>
      <c r="V639" s="0" t="inlineStr">
        <is>
          <t xml:space="preserve"/>
        </is>
      </c>
      <c r="W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 t="inlineStr">
        <is>
          <t xml:space="preserve"/>
        </is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>
        <f>IF(E640="","",IF(OR(ISNUMBER(SEARCH("狼",E640)),ISNUMBER(SEARCH("石像鬼",E640)),ISNUMBER(SEARCH("恶灵骑士",E640)),ISNUMBER(SEARCH("黑蝙蝠",E640)),ISNUMBER(SEARCH("血月使徒",E640))),"werewolves","villagers"))</f>
      </c>
      <c r="M640" s="0">
        <f>IF(F640="","",IF(ROUND(F640,2)=5,"win","loss"))</f>
      </c>
      <c r="N640" s="0" t="inlineStr">
        <is>
          <t xml:space="preserve"/>
        </is>
      </c>
      <c r="O640" s="0" t="inlineStr">
        <is>
          <t xml:space="preserve"/>
        </is>
      </c>
      <c r="P640" s="0" t="inlineStr">
        <is>
          <t xml:space="preserve"/>
        </is>
      </c>
      <c r="Q640" s="0" t="inlineStr">
        <is>
          <t xml:space="preserve"/>
        </is>
      </c>
      <c r="R640" s="0">
        <f>IF(D640="","",IFERROR(LOOKUP(2,1/(($D$2:$D$1001=D640)*($M$2:$M$1001="win")),$L$2:$L$1001),""))</f>
      </c>
      <c r="S640" s="0" t="inlineStr">
        <is>
          <t xml:space="preserve"/>
        </is>
      </c>
      <c r="T640" s="0" t="inlineStr">
        <is>
          <t xml:space="preserve"/>
        </is>
      </c>
      <c r="U640" s="0" t="inlineStr">
        <is>
          <t xml:space="preserve"/>
        </is>
      </c>
      <c r="V640" s="0" t="inlineStr">
        <is>
          <t xml:space="preserve"/>
        </is>
      </c>
      <c r="W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>
        <f>IF(E641="","",IF(OR(ISNUMBER(SEARCH("狼",E641)),ISNUMBER(SEARCH("石像鬼",E641)),ISNUMBER(SEARCH("恶灵骑士",E641)),ISNUMBER(SEARCH("黑蝙蝠",E641)),ISNUMBER(SEARCH("血月使徒",E641))),"werewolves","villagers"))</f>
      </c>
      <c r="M641" s="0">
        <f>IF(F641="","",IF(ROUND(F641,2)=5,"win","loss"))</f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>
        <f>IF(D641="","",IFERROR(LOOKUP(2,1/(($D$2:$D$1001=D641)*($M$2:$M$1001="win")),$L$2:$L$1001),""))</f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 t="inlineStr">
        <is>
          <t xml:space="preserve"/>
        </is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>
        <f>IF(E642="","",IF(OR(ISNUMBER(SEARCH("狼",E642)),ISNUMBER(SEARCH("石像鬼",E642)),ISNUMBER(SEARCH("恶灵骑士",E642)),ISNUMBER(SEARCH("黑蝙蝠",E642)),ISNUMBER(SEARCH("血月使徒",E642))),"werewolves","villagers"))</f>
      </c>
      <c r="M642" s="0">
        <f>IF(F642="","",IF(ROUND(F642,2)=5,"win","loss"))</f>
      </c>
      <c r="N642" s="0" t="inlineStr">
        <is>
          <t xml:space="preserve"/>
        </is>
      </c>
      <c r="O642" s="0" t="inlineStr">
        <is>
          <t xml:space="preserve"/>
        </is>
      </c>
      <c r="P642" s="0" t="inlineStr">
        <is>
          <t xml:space="preserve"/>
        </is>
      </c>
      <c r="Q642" s="0" t="inlineStr">
        <is>
          <t xml:space="preserve"/>
        </is>
      </c>
      <c r="R642" s="0">
        <f>IF(D642="","",IFERROR(LOOKUP(2,1/(($D$2:$D$1001=D642)*($M$2:$M$1001="win")),$L$2:$L$1001),""))</f>
      </c>
      <c r="S642" s="0" t="inlineStr">
        <is>
          <t xml:space="preserve"/>
        </is>
      </c>
      <c r="T642" s="0" t="inlineStr">
        <is>
          <t xml:space="preserve"/>
        </is>
      </c>
      <c r="U642" s="0" t="inlineStr">
        <is>
          <t xml:space="preserve"/>
        </is>
      </c>
      <c r="V642" s="0" t="inlineStr">
        <is>
          <t xml:space="preserve"/>
        </is>
      </c>
      <c r="W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>
        <f>IF(E643="","",IF(OR(ISNUMBER(SEARCH("狼",E643)),ISNUMBER(SEARCH("石像鬼",E643)),ISNUMBER(SEARCH("恶灵骑士",E643)),ISNUMBER(SEARCH("黑蝙蝠",E643)),ISNUMBER(SEARCH("血月使徒",E643))),"werewolves","villagers"))</f>
      </c>
      <c r="M643" s="0">
        <f>IF(F643="","",IF(ROUND(F643,2)=5,"win","loss"))</f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>
        <f>IF(D643="","",IFERROR(LOOKUP(2,1/(($D$2:$D$1001=D643)*($M$2:$M$1001="win")),$L$2:$L$1001),""))</f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>
        <f>IF(E644="","",IF(OR(ISNUMBER(SEARCH("狼",E644)),ISNUMBER(SEARCH("石像鬼",E644)),ISNUMBER(SEARCH("恶灵骑士",E644)),ISNUMBER(SEARCH("黑蝙蝠",E644)),ISNUMBER(SEARCH("血月使徒",E644))),"werewolves","villagers"))</f>
      </c>
      <c r="M644" s="0">
        <f>IF(F644="","",IF(ROUND(F644,2)=5,"win","loss"))</f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>
        <f>IF(D644="","",IFERROR(LOOKUP(2,1/(($D$2:$D$1001=D644)*($M$2:$M$1001="win")),$L$2:$L$1001),""))</f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 t="inlineStr">
        <is>
          <t xml:space="preserve"/>
        </is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>
        <f>IF(E645="","",IF(OR(ISNUMBER(SEARCH("狼",E645)),ISNUMBER(SEARCH("石像鬼",E645)),ISNUMBER(SEARCH("恶灵骑士",E645)),ISNUMBER(SEARCH("黑蝙蝠",E645)),ISNUMBER(SEARCH("血月使徒",E645))),"werewolves","villagers"))</f>
      </c>
      <c r="M645" s="0">
        <f>IF(F645="","",IF(ROUND(F645,2)=5,"win","loss"))</f>
      </c>
      <c r="N645" s="0" t="inlineStr">
        <is>
          <t xml:space="preserve"/>
        </is>
      </c>
      <c r="O645" s="0" t="inlineStr">
        <is>
          <t xml:space="preserve"/>
        </is>
      </c>
      <c r="P645" s="0" t="inlineStr">
        <is>
          <t xml:space="preserve"/>
        </is>
      </c>
      <c r="Q645" s="0" t="inlineStr">
        <is>
          <t xml:space="preserve"/>
        </is>
      </c>
      <c r="R645" s="0">
        <f>IF(D645="","",IFERROR(LOOKUP(2,1/(($D$2:$D$1001=D645)*($M$2:$M$1001="win")),$L$2:$L$1001),""))</f>
      </c>
      <c r="S645" s="0" t="inlineStr">
        <is>
          <t xml:space="preserve"/>
        </is>
      </c>
      <c r="T645" s="0" t="inlineStr">
        <is>
          <t xml:space="preserve"/>
        </is>
      </c>
      <c r="U645" s="0" t="inlineStr">
        <is>
          <t xml:space="preserve"/>
        </is>
      </c>
      <c r="V645" s="0" t="inlineStr">
        <is>
          <t xml:space="preserve"/>
        </is>
      </c>
      <c r="W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>
        <f>IF(E646="","",IF(OR(ISNUMBER(SEARCH("狼",E646)),ISNUMBER(SEARCH("石像鬼",E646)),ISNUMBER(SEARCH("恶灵骑士",E646)),ISNUMBER(SEARCH("黑蝙蝠",E646)),ISNUMBER(SEARCH("血月使徒",E646))),"werewolves","villagers"))</f>
      </c>
      <c r="M646" s="0">
        <f>IF(F646="","",IF(ROUND(F646,2)=5,"win","loss"))</f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>
        <f>IF(D646="","",IFERROR(LOOKUP(2,1/(($D$2:$D$1001=D646)*($M$2:$M$1001="win")),$L$2:$L$1001),""))</f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 t="inlineStr">
        <is>
          <t xml:space="preserve"/>
        </is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>
        <f>IF(E647="","",IF(OR(ISNUMBER(SEARCH("狼",E647)),ISNUMBER(SEARCH("石像鬼",E647)),ISNUMBER(SEARCH("恶灵骑士",E647)),ISNUMBER(SEARCH("黑蝙蝠",E647)),ISNUMBER(SEARCH("血月使徒",E647))),"werewolves","villagers"))</f>
      </c>
      <c r="M647" s="0">
        <f>IF(F647="","",IF(ROUND(F647,2)=5,"win","loss"))</f>
      </c>
      <c r="N647" s="0" t="inlineStr">
        <is>
          <t xml:space="preserve"/>
        </is>
      </c>
      <c r="O647" s="0" t="inlineStr">
        <is>
          <t xml:space="preserve"/>
        </is>
      </c>
      <c r="P647" s="0" t="inlineStr">
        <is>
          <t xml:space="preserve"/>
        </is>
      </c>
      <c r="Q647" s="0" t="inlineStr">
        <is>
          <t xml:space="preserve"/>
        </is>
      </c>
      <c r="R647" s="0">
        <f>IF(D647="","",IFERROR(LOOKUP(2,1/(($D$2:$D$1001=D647)*($M$2:$M$1001="win")),$L$2:$L$1001),""))</f>
      </c>
      <c r="S647" s="0" t="inlineStr">
        <is>
          <t xml:space="preserve"/>
        </is>
      </c>
      <c r="T647" s="0" t="inlineStr">
        <is>
          <t xml:space="preserve"/>
        </is>
      </c>
      <c r="U647" s="0" t="inlineStr">
        <is>
          <t xml:space="preserve"/>
        </is>
      </c>
      <c r="V647" s="0" t="inlineStr">
        <is>
          <t xml:space="preserve"/>
        </is>
      </c>
      <c r="W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>
        <f>IF(E648="","",IF(OR(ISNUMBER(SEARCH("狼",E648)),ISNUMBER(SEARCH("石像鬼",E648)),ISNUMBER(SEARCH("恶灵骑士",E648)),ISNUMBER(SEARCH("黑蝙蝠",E648)),ISNUMBER(SEARCH("血月使徒",E648))),"werewolves","villagers"))</f>
      </c>
      <c r="M648" s="0">
        <f>IF(F648="","",IF(ROUND(F648,2)=5,"win","loss"))</f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>
        <f>IF(D648="","",IFERROR(LOOKUP(2,1/(($D$2:$D$1001=D648)*($M$2:$M$1001="win")),$L$2:$L$1001),""))</f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 t="inlineStr">
        <is>
          <t xml:space="preserve"/>
        </is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>
        <f>IF(E649="","",IF(OR(ISNUMBER(SEARCH("狼",E649)),ISNUMBER(SEARCH("石像鬼",E649)),ISNUMBER(SEARCH("恶灵骑士",E649)),ISNUMBER(SEARCH("黑蝙蝠",E649)),ISNUMBER(SEARCH("血月使徒",E649))),"werewolves","villagers"))</f>
      </c>
      <c r="M649" s="0">
        <f>IF(F649="","",IF(ROUND(F649,2)=5,"win","loss"))</f>
      </c>
      <c r="N649" s="0" t="inlineStr">
        <is>
          <t xml:space="preserve"/>
        </is>
      </c>
      <c r="O649" s="0" t="inlineStr">
        <is>
          <t xml:space="preserve"/>
        </is>
      </c>
      <c r="P649" s="0" t="inlineStr">
        <is>
          <t xml:space="preserve"/>
        </is>
      </c>
      <c r="Q649" s="0" t="inlineStr">
        <is>
          <t xml:space="preserve"/>
        </is>
      </c>
      <c r="R649" s="0">
        <f>IF(D649="","",IFERROR(LOOKUP(2,1/(($D$2:$D$1001=D649)*($M$2:$M$1001="win")),$L$2:$L$1001),""))</f>
      </c>
      <c r="S649" s="0" t="inlineStr">
        <is>
          <t xml:space="preserve"/>
        </is>
      </c>
      <c r="T649" s="0" t="inlineStr">
        <is>
          <t xml:space="preserve"/>
        </is>
      </c>
      <c r="U649" s="0" t="inlineStr">
        <is>
          <t xml:space="preserve"/>
        </is>
      </c>
      <c r="V649" s="0" t="inlineStr">
        <is>
          <t xml:space="preserve"/>
        </is>
      </c>
      <c r="W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 t="inlineStr">
        <is>
          <t xml:space="preserve"/>
        </is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>
        <f>IF(E650="","",IF(OR(ISNUMBER(SEARCH("狼",E650)),ISNUMBER(SEARCH("石像鬼",E650)),ISNUMBER(SEARCH("恶灵骑士",E650)),ISNUMBER(SEARCH("黑蝙蝠",E650)),ISNUMBER(SEARCH("血月使徒",E650))),"werewolves","villagers"))</f>
      </c>
      <c r="M650" s="0">
        <f>IF(F650="","",IF(ROUND(F650,2)=5,"win","loss"))</f>
      </c>
      <c r="N650" s="0" t="inlineStr">
        <is>
          <t xml:space="preserve"/>
        </is>
      </c>
      <c r="O650" s="0" t="inlineStr">
        <is>
          <t xml:space="preserve"/>
        </is>
      </c>
      <c r="P650" s="0" t="inlineStr">
        <is>
          <t xml:space="preserve"/>
        </is>
      </c>
      <c r="Q650" s="0" t="inlineStr">
        <is>
          <t xml:space="preserve"/>
        </is>
      </c>
      <c r="R650" s="0">
        <f>IF(D650="","",IFERROR(LOOKUP(2,1/(($D$2:$D$1001=D650)*($M$2:$M$1001="win")),$L$2:$L$1001),""))</f>
      </c>
      <c r="S650" s="0" t="inlineStr">
        <is>
          <t xml:space="preserve"/>
        </is>
      </c>
      <c r="T650" s="0" t="inlineStr">
        <is>
          <t xml:space="preserve"/>
        </is>
      </c>
      <c r="U650" s="0" t="inlineStr">
        <is>
          <t xml:space="preserve"/>
        </is>
      </c>
      <c r="V650" s="0" t="inlineStr">
        <is>
          <t xml:space="preserve"/>
        </is>
      </c>
      <c r="W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 t="inlineStr">
        <is>
          <t xml:space="preserve"/>
        </is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>
        <f>IF(E651="","",IF(OR(ISNUMBER(SEARCH("狼",E651)),ISNUMBER(SEARCH("石像鬼",E651)),ISNUMBER(SEARCH("恶灵骑士",E651)),ISNUMBER(SEARCH("黑蝙蝠",E651)),ISNUMBER(SEARCH("血月使徒",E651))),"werewolves","villagers"))</f>
      </c>
      <c r="M651" s="0">
        <f>IF(F651="","",IF(ROUND(F651,2)=5,"win","loss"))</f>
      </c>
      <c r="N651" s="0" t="inlineStr">
        <is>
          <t xml:space="preserve"/>
        </is>
      </c>
      <c r="O651" s="0" t="inlineStr">
        <is>
          <t xml:space="preserve"/>
        </is>
      </c>
      <c r="P651" s="0" t="inlineStr">
        <is>
          <t xml:space="preserve"/>
        </is>
      </c>
      <c r="Q651" s="0" t="inlineStr">
        <is>
          <t xml:space="preserve"/>
        </is>
      </c>
      <c r="R651" s="0">
        <f>IF(D651="","",IFERROR(LOOKUP(2,1/(($D$2:$D$1001=D651)*($M$2:$M$1001="win")),$L$2:$L$1001),""))</f>
      </c>
      <c r="S651" s="0" t="inlineStr">
        <is>
          <t xml:space="preserve"/>
        </is>
      </c>
      <c r="T651" s="0" t="inlineStr">
        <is>
          <t xml:space="preserve"/>
        </is>
      </c>
      <c r="U651" s="0" t="inlineStr">
        <is>
          <t xml:space="preserve"/>
        </is>
      </c>
      <c r="V651" s="0" t="inlineStr">
        <is>
          <t xml:space="preserve"/>
        </is>
      </c>
      <c r="W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>
        <f>IF(E652="","",IF(OR(ISNUMBER(SEARCH("狼",E652)),ISNUMBER(SEARCH("石像鬼",E652)),ISNUMBER(SEARCH("恶灵骑士",E652)),ISNUMBER(SEARCH("黑蝙蝠",E652)),ISNUMBER(SEARCH("血月使徒",E652))),"werewolves","villagers"))</f>
      </c>
      <c r="M652" s="0">
        <f>IF(F652="","",IF(ROUND(F652,2)=5,"win","loss"))</f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>
        <f>IF(D652="","",IFERROR(LOOKUP(2,1/(($D$2:$D$1001=D652)*($M$2:$M$1001="win")),$L$2:$L$1001),""))</f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 t="inlineStr">
        <is>
          <t xml:space="preserve"/>
        </is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>
        <f>IF(E653="","",IF(OR(ISNUMBER(SEARCH("狼",E653)),ISNUMBER(SEARCH("石像鬼",E653)),ISNUMBER(SEARCH("恶灵骑士",E653)),ISNUMBER(SEARCH("黑蝙蝠",E653)),ISNUMBER(SEARCH("血月使徒",E653))),"werewolves","villagers"))</f>
      </c>
      <c r="M653" s="0">
        <f>IF(F653="","",IF(ROUND(F653,2)=5,"win","loss"))</f>
      </c>
      <c r="N653" s="0" t="inlineStr">
        <is>
          <t xml:space="preserve"/>
        </is>
      </c>
      <c r="O653" s="0" t="inlineStr">
        <is>
          <t xml:space="preserve"/>
        </is>
      </c>
      <c r="P653" s="0" t="inlineStr">
        <is>
          <t xml:space="preserve"/>
        </is>
      </c>
      <c r="Q653" s="0" t="inlineStr">
        <is>
          <t xml:space="preserve"/>
        </is>
      </c>
      <c r="R653" s="0">
        <f>IF(D653="","",IFERROR(LOOKUP(2,1/(($D$2:$D$1001=D653)*($M$2:$M$1001="win")),$L$2:$L$1001),""))</f>
      </c>
      <c r="S653" s="0" t="inlineStr">
        <is>
          <t xml:space="preserve"/>
        </is>
      </c>
      <c r="T653" s="0" t="inlineStr">
        <is>
          <t xml:space="preserve"/>
        </is>
      </c>
      <c r="U653" s="0" t="inlineStr">
        <is>
          <t xml:space="preserve"/>
        </is>
      </c>
      <c r="V653" s="0" t="inlineStr">
        <is>
          <t xml:space="preserve"/>
        </is>
      </c>
      <c r="W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 t="inlineStr">
        <is>
          <t xml:space="preserve"/>
        </is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>
        <f>IF(E654="","",IF(OR(ISNUMBER(SEARCH("狼",E654)),ISNUMBER(SEARCH("石像鬼",E654)),ISNUMBER(SEARCH("恶灵骑士",E654)),ISNUMBER(SEARCH("黑蝙蝠",E654)),ISNUMBER(SEARCH("血月使徒",E654))),"werewolves","villagers"))</f>
      </c>
      <c r="M654" s="0">
        <f>IF(F654="","",IF(ROUND(F654,2)=5,"win","loss"))</f>
      </c>
      <c r="N654" s="0" t="inlineStr">
        <is>
          <t xml:space="preserve"/>
        </is>
      </c>
      <c r="O654" s="0" t="inlineStr">
        <is>
          <t xml:space="preserve"/>
        </is>
      </c>
      <c r="P654" s="0" t="inlineStr">
        <is>
          <t xml:space="preserve"/>
        </is>
      </c>
      <c r="Q654" s="0" t="inlineStr">
        <is>
          <t xml:space="preserve"/>
        </is>
      </c>
      <c r="R654" s="0">
        <f>IF(D654="","",IFERROR(LOOKUP(2,1/(($D$2:$D$1001=D654)*($M$2:$M$1001="win")),$L$2:$L$1001),""))</f>
      </c>
      <c r="S654" s="0" t="inlineStr">
        <is>
          <t xml:space="preserve"/>
        </is>
      </c>
      <c r="T654" s="0" t="inlineStr">
        <is>
          <t xml:space="preserve"/>
        </is>
      </c>
      <c r="U654" s="0" t="inlineStr">
        <is>
          <t xml:space="preserve"/>
        </is>
      </c>
      <c r="V654" s="0" t="inlineStr">
        <is>
          <t xml:space="preserve"/>
        </is>
      </c>
      <c r="W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>
        <f>IF(E655="","",IF(OR(ISNUMBER(SEARCH("狼",E655)),ISNUMBER(SEARCH("石像鬼",E655)),ISNUMBER(SEARCH("恶灵骑士",E655)),ISNUMBER(SEARCH("黑蝙蝠",E655)),ISNUMBER(SEARCH("血月使徒",E655))),"werewolves","villagers"))</f>
      </c>
      <c r="M655" s="0">
        <f>IF(F655="","",IF(ROUND(F655,2)=5,"win","loss"))</f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>
        <f>IF(D655="","",IFERROR(LOOKUP(2,1/(($D$2:$D$1001=D655)*($M$2:$M$1001="win")),$L$2:$L$1001),""))</f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 t="inlineStr">
        <is>
          <t xml:space="preserve"/>
        </is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>
        <f>IF(E656="","",IF(OR(ISNUMBER(SEARCH("狼",E656)),ISNUMBER(SEARCH("石像鬼",E656)),ISNUMBER(SEARCH("恶灵骑士",E656)),ISNUMBER(SEARCH("黑蝙蝠",E656)),ISNUMBER(SEARCH("血月使徒",E656))),"werewolves","villagers"))</f>
      </c>
      <c r="M656" s="0">
        <f>IF(F656="","",IF(ROUND(F656,2)=5,"win","loss"))</f>
      </c>
      <c r="N656" s="0" t="inlineStr">
        <is>
          <t xml:space="preserve"/>
        </is>
      </c>
      <c r="O656" s="0" t="inlineStr">
        <is>
          <t xml:space="preserve"/>
        </is>
      </c>
      <c r="P656" s="0" t="inlineStr">
        <is>
          <t xml:space="preserve"/>
        </is>
      </c>
      <c r="Q656" s="0" t="inlineStr">
        <is>
          <t xml:space="preserve"/>
        </is>
      </c>
      <c r="R656" s="0">
        <f>IF(D656="","",IFERROR(LOOKUP(2,1/(($D$2:$D$1001=D656)*($M$2:$M$1001="win")),$L$2:$L$1001),""))</f>
      </c>
      <c r="S656" s="0" t="inlineStr">
        <is>
          <t xml:space="preserve"/>
        </is>
      </c>
      <c r="T656" s="0" t="inlineStr">
        <is>
          <t xml:space="preserve"/>
        </is>
      </c>
      <c r="U656" s="0" t="inlineStr">
        <is>
          <t xml:space="preserve"/>
        </is>
      </c>
      <c r="V656" s="0" t="inlineStr">
        <is>
          <t xml:space="preserve"/>
        </is>
      </c>
      <c r="W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 t="inlineStr">
        <is>
          <t xml:space="preserve"/>
        </is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>
        <f>IF(E657="","",IF(OR(ISNUMBER(SEARCH("狼",E657)),ISNUMBER(SEARCH("石像鬼",E657)),ISNUMBER(SEARCH("恶灵骑士",E657)),ISNUMBER(SEARCH("黑蝙蝠",E657)),ISNUMBER(SEARCH("血月使徒",E657))),"werewolves","villagers"))</f>
      </c>
      <c r="M657" s="0">
        <f>IF(F657="","",IF(ROUND(F657,2)=5,"win","loss"))</f>
      </c>
      <c r="N657" s="0" t="inlineStr">
        <is>
          <t xml:space="preserve"/>
        </is>
      </c>
      <c r="O657" s="0" t="inlineStr">
        <is>
          <t xml:space="preserve"/>
        </is>
      </c>
      <c r="P657" s="0" t="inlineStr">
        <is>
          <t xml:space="preserve"/>
        </is>
      </c>
      <c r="Q657" s="0" t="inlineStr">
        <is>
          <t xml:space="preserve"/>
        </is>
      </c>
      <c r="R657" s="0">
        <f>IF(D657="","",IFERROR(LOOKUP(2,1/(($D$2:$D$1001=D657)*($M$2:$M$1001="win")),$L$2:$L$1001),""))</f>
      </c>
      <c r="S657" s="0" t="inlineStr">
        <is>
          <t xml:space="preserve"/>
        </is>
      </c>
      <c r="T657" s="0" t="inlineStr">
        <is>
          <t xml:space="preserve"/>
        </is>
      </c>
      <c r="U657" s="0" t="inlineStr">
        <is>
          <t xml:space="preserve"/>
        </is>
      </c>
      <c r="V657" s="0" t="inlineStr">
        <is>
          <t xml:space="preserve"/>
        </is>
      </c>
      <c r="W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 t="inlineStr">
        <is>
          <t xml:space="preserve"/>
        </is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>
        <f>IF(E658="","",IF(OR(ISNUMBER(SEARCH("狼",E658)),ISNUMBER(SEARCH("石像鬼",E658)),ISNUMBER(SEARCH("恶灵骑士",E658)),ISNUMBER(SEARCH("黑蝙蝠",E658)),ISNUMBER(SEARCH("血月使徒",E658))),"werewolves","villagers"))</f>
      </c>
      <c r="M658" s="0">
        <f>IF(F658="","",IF(ROUND(F658,2)=5,"win","loss"))</f>
      </c>
      <c r="N658" s="0" t="inlineStr">
        <is>
          <t xml:space="preserve"/>
        </is>
      </c>
      <c r="O658" s="0" t="inlineStr">
        <is>
          <t xml:space="preserve"/>
        </is>
      </c>
      <c r="P658" s="0" t="inlineStr">
        <is>
          <t xml:space="preserve"/>
        </is>
      </c>
      <c r="Q658" s="0" t="inlineStr">
        <is>
          <t xml:space="preserve"/>
        </is>
      </c>
      <c r="R658" s="0">
        <f>IF(D658="","",IFERROR(LOOKUP(2,1/(($D$2:$D$1001=D658)*($M$2:$M$1001="win")),$L$2:$L$1001),""))</f>
      </c>
      <c r="S658" s="0" t="inlineStr">
        <is>
          <t xml:space="preserve"/>
        </is>
      </c>
      <c r="T658" s="0" t="inlineStr">
        <is>
          <t xml:space="preserve"/>
        </is>
      </c>
      <c r="U658" s="0" t="inlineStr">
        <is>
          <t xml:space="preserve"/>
        </is>
      </c>
      <c r="V658" s="0" t="inlineStr">
        <is>
          <t xml:space="preserve"/>
        </is>
      </c>
      <c r="W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 t="inlineStr">
        <is>
          <t xml:space="preserve"/>
        </is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>
        <f>IF(E659="","",IF(OR(ISNUMBER(SEARCH("狼",E659)),ISNUMBER(SEARCH("石像鬼",E659)),ISNUMBER(SEARCH("恶灵骑士",E659)),ISNUMBER(SEARCH("黑蝙蝠",E659)),ISNUMBER(SEARCH("血月使徒",E659))),"werewolves","villagers"))</f>
      </c>
      <c r="M659" s="0">
        <f>IF(F659="","",IF(ROUND(F659,2)=5,"win","loss"))</f>
      </c>
      <c r="N659" s="0" t="inlineStr">
        <is>
          <t xml:space="preserve"/>
        </is>
      </c>
      <c r="O659" s="0" t="inlineStr">
        <is>
          <t xml:space="preserve"/>
        </is>
      </c>
      <c r="P659" s="0" t="inlineStr">
        <is>
          <t xml:space="preserve"/>
        </is>
      </c>
      <c r="Q659" s="0" t="inlineStr">
        <is>
          <t xml:space="preserve"/>
        </is>
      </c>
      <c r="R659" s="0">
        <f>IF(D659="","",IFERROR(LOOKUP(2,1/(($D$2:$D$1001=D659)*($M$2:$M$1001="win")),$L$2:$L$1001),""))</f>
      </c>
      <c r="S659" s="0" t="inlineStr">
        <is>
          <t xml:space="preserve"/>
        </is>
      </c>
      <c r="T659" s="0" t="inlineStr">
        <is>
          <t xml:space="preserve"/>
        </is>
      </c>
      <c r="U659" s="0" t="inlineStr">
        <is>
          <t xml:space="preserve"/>
        </is>
      </c>
      <c r="V659" s="0" t="inlineStr">
        <is>
          <t xml:space="preserve"/>
        </is>
      </c>
      <c r="W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 t="inlineStr">
        <is>
          <t xml:space="preserve"/>
        </is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>
        <f>IF(E660="","",IF(OR(ISNUMBER(SEARCH("狼",E660)),ISNUMBER(SEARCH("石像鬼",E660)),ISNUMBER(SEARCH("恶灵骑士",E660)),ISNUMBER(SEARCH("黑蝙蝠",E660)),ISNUMBER(SEARCH("血月使徒",E660))),"werewolves","villagers"))</f>
      </c>
      <c r="M660" s="0">
        <f>IF(F660="","",IF(ROUND(F660,2)=5,"win","loss"))</f>
      </c>
      <c r="N660" s="0" t="inlineStr">
        <is>
          <t xml:space="preserve"/>
        </is>
      </c>
      <c r="O660" s="0" t="inlineStr">
        <is>
          <t xml:space="preserve"/>
        </is>
      </c>
      <c r="P660" s="0" t="inlineStr">
        <is>
          <t xml:space="preserve"/>
        </is>
      </c>
      <c r="Q660" s="0" t="inlineStr">
        <is>
          <t xml:space="preserve"/>
        </is>
      </c>
      <c r="R660" s="0">
        <f>IF(D660="","",IFERROR(LOOKUP(2,1/(($D$2:$D$1001=D660)*($M$2:$M$1001="win")),$L$2:$L$1001),""))</f>
      </c>
      <c r="S660" s="0" t="inlineStr">
        <is>
          <t xml:space="preserve"/>
        </is>
      </c>
      <c r="T660" s="0" t="inlineStr">
        <is>
          <t xml:space="preserve"/>
        </is>
      </c>
      <c r="U660" s="0" t="inlineStr">
        <is>
          <t xml:space="preserve"/>
        </is>
      </c>
      <c r="V660" s="0" t="inlineStr">
        <is>
          <t xml:space="preserve"/>
        </is>
      </c>
      <c r="W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>
        <f>IF(E661="","",IF(OR(ISNUMBER(SEARCH("狼",E661)),ISNUMBER(SEARCH("石像鬼",E661)),ISNUMBER(SEARCH("恶灵骑士",E661)),ISNUMBER(SEARCH("黑蝙蝠",E661)),ISNUMBER(SEARCH("血月使徒",E661))),"werewolves","villagers"))</f>
      </c>
      <c r="M661" s="0">
        <f>IF(F661="","",IF(ROUND(F661,2)=5,"win","loss"))</f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>
        <f>IF(D661="","",IFERROR(LOOKUP(2,1/(($D$2:$D$1001=D661)*($M$2:$M$1001="win")),$L$2:$L$1001),""))</f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 t="inlineStr">
        <is>
          <t xml:space="preserve"/>
        </is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>
        <f>IF(E662="","",IF(OR(ISNUMBER(SEARCH("狼",E662)),ISNUMBER(SEARCH("石像鬼",E662)),ISNUMBER(SEARCH("恶灵骑士",E662)),ISNUMBER(SEARCH("黑蝙蝠",E662)),ISNUMBER(SEARCH("血月使徒",E662))),"werewolves","villagers"))</f>
      </c>
      <c r="M662" s="0">
        <f>IF(F662="","",IF(ROUND(F662,2)=5,"win","loss"))</f>
      </c>
      <c r="N662" s="0" t="inlineStr">
        <is>
          <t xml:space="preserve"/>
        </is>
      </c>
      <c r="O662" s="0" t="inlineStr">
        <is>
          <t xml:space="preserve"/>
        </is>
      </c>
      <c r="P662" s="0" t="inlineStr">
        <is>
          <t xml:space="preserve"/>
        </is>
      </c>
      <c r="Q662" s="0" t="inlineStr">
        <is>
          <t xml:space="preserve"/>
        </is>
      </c>
      <c r="R662" s="0">
        <f>IF(D662="","",IFERROR(LOOKUP(2,1/(($D$2:$D$1001=D662)*($M$2:$M$1001="win")),$L$2:$L$1001),""))</f>
      </c>
      <c r="S662" s="0" t="inlineStr">
        <is>
          <t xml:space="preserve"/>
        </is>
      </c>
      <c r="T662" s="0" t="inlineStr">
        <is>
          <t xml:space="preserve"/>
        </is>
      </c>
      <c r="U662" s="0" t="inlineStr">
        <is>
          <t xml:space="preserve"/>
        </is>
      </c>
      <c r="V662" s="0" t="inlineStr">
        <is>
          <t xml:space="preserve"/>
        </is>
      </c>
      <c r="W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>
        <f>IF(E663="","",IF(OR(ISNUMBER(SEARCH("狼",E663)),ISNUMBER(SEARCH("石像鬼",E663)),ISNUMBER(SEARCH("恶灵骑士",E663)),ISNUMBER(SEARCH("黑蝙蝠",E663)),ISNUMBER(SEARCH("血月使徒",E663))),"werewolves","villagers"))</f>
      </c>
      <c r="M663" s="0">
        <f>IF(F663="","",IF(ROUND(F663,2)=5,"win","loss"))</f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>
        <f>IF(D663="","",IFERROR(LOOKUP(2,1/(($D$2:$D$1001=D663)*($M$2:$M$1001="win")),$L$2:$L$1001),""))</f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 t="inlineStr">
        <is>
          <t xml:space="preserve"/>
        </is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>
        <f>IF(E664="","",IF(OR(ISNUMBER(SEARCH("狼",E664)),ISNUMBER(SEARCH("石像鬼",E664)),ISNUMBER(SEARCH("恶灵骑士",E664)),ISNUMBER(SEARCH("黑蝙蝠",E664)),ISNUMBER(SEARCH("血月使徒",E664))),"werewolves","villagers"))</f>
      </c>
      <c r="M664" s="0">
        <f>IF(F664="","",IF(ROUND(F664,2)=5,"win","loss"))</f>
      </c>
      <c r="N664" s="0" t="inlineStr">
        <is>
          <t xml:space="preserve"/>
        </is>
      </c>
      <c r="O664" s="0" t="inlineStr">
        <is>
          <t xml:space="preserve"/>
        </is>
      </c>
      <c r="P664" s="0" t="inlineStr">
        <is>
          <t xml:space="preserve"/>
        </is>
      </c>
      <c r="Q664" s="0" t="inlineStr">
        <is>
          <t xml:space="preserve"/>
        </is>
      </c>
      <c r="R664" s="0">
        <f>IF(D664="","",IFERROR(LOOKUP(2,1/(($D$2:$D$1001=D664)*($M$2:$M$1001="win")),$L$2:$L$1001),""))</f>
      </c>
      <c r="S664" s="0" t="inlineStr">
        <is>
          <t xml:space="preserve"/>
        </is>
      </c>
      <c r="T664" s="0" t="inlineStr">
        <is>
          <t xml:space="preserve"/>
        </is>
      </c>
      <c r="U664" s="0" t="inlineStr">
        <is>
          <t xml:space="preserve"/>
        </is>
      </c>
      <c r="V664" s="0" t="inlineStr">
        <is>
          <t xml:space="preserve"/>
        </is>
      </c>
      <c r="W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 t="inlineStr">
        <is>
          <t xml:space="preserve"/>
        </is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>
        <f>IF(E665="","",IF(OR(ISNUMBER(SEARCH("狼",E665)),ISNUMBER(SEARCH("石像鬼",E665)),ISNUMBER(SEARCH("恶灵骑士",E665)),ISNUMBER(SEARCH("黑蝙蝠",E665)),ISNUMBER(SEARCH("血月使徒",E665))),"werewolves","villagers"))</f>
      </c>
      <c r="M665" s="0">
        <f>IF(F665="","",IF(ROUND(F665,2)=5,"win","loss"))</f>
      </c>
      <c r="N665" s="0" t="inlineStr">
        <is>
          <t xml:space="preserve"/>
        </is>
      </c>
      <c r="O665" s="0" t="inlineStr">
        <is>
          <t xml:space="preserve"/>
        </is>
      </c>
      <c r="P665" s="0" t="inlineStr">
        <is>
          <t xml:space="preserve"/>
        </is>
      </c>
      <c r="Q665" s="0" t="inlineStr">
        <is>
          <t xml:space="preserve"/>
        </is>
      </c>
      <c r="R665" s="0">
        <f>IF(D665="","",IFERROR(LOOKUP(2,1/(($D$2:$D$1001=D665)*($M$2:$M$1001="win")),$L$2:$L$1001),""))</f>
      </c>
      <c r="S665" s="0" t="inlineStr">
        <is>
          <t xml:space="preserve"/>
        </is>
      </c>
      <c r="T665" s="0" t="inlineStr">
        <is>
          <t xml:space="preserve"/>
        </is>
      </c>
      <c r="U665" s="0" t="inlineStr">
        <is>
          <t xml:space="preserve"/>
        </is>
      </c>
      <c r="V665" s="0" t="inlineStr">
        <is>
          <t xml:space="preserve"/>
        </is>
      </c>
      <c r="W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 t="inlineStr">
        <is>
          <t xml:space="preserve"/>
        </is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>
        <f>IF(E666="","",IF(OR(ISNUMBER(SEARCH("狼",E666)),ISNUMBER(SEARCH("石像鬼",E666)),ISNUMBER(SEARCH("恶灵骑士",E666)),ISNUMBER(SEARCH("黑蝙蝠",E666)),ISNUMBER(SEARCH("血月使徒",E666))),"werewolves","villagers"))</f>
      </c>
      <c r="M666" s="0">
        <f>IF(F666="","",IF(ROUND(F666,2)=5,"win","loss"))</f>
      </c>
      <c r="N666" s="0" t="inlineStr">
        <is>
          <t xml:space="preserve"/>
        </is>
      </c>
      <c r="O666" s="0" t="inlineStr">
        <is>
          <t xml:space="preserve"/>
        </is>
      </c>
      <c r="P666" s="0" t="inlineStr">
        <is>
          <t xml:space="preserve"/>
        </is>
      </c>
      <c r="Q666" s="0" t="inlineStr">
        <is>
          <t xml:space="preserve"/>
        </is>
      </c>
      <c r="R666" s="0">
        <f>IF(D666="","",IFERROR(LOOKUP(2,1/(($D$2:$D$1001=D666)*($M$2:$M$1001="win")),$L$2:$L$1001),""))</f>
      </c>
      <c r="S666" s="0" t="inlineStr">
        <is>
          <t xml:space="preserve"/>
        </is>
      </c>
      <c r="T666" s="0" t="inlineStr">
        <is>
          <t xml:space="preserve"/>
        </is>
      </c>
      <c r="U666" s="0" t="inlineStr">
        <is>
          <t xml:space="preserve"/>
        </is>
      </c>
      <c r="V666" s="0" t="inlineStr">
        <is>
          <t xml:space="preserve"/>
        </is>
      </c>
      <c r="W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>
        <f>IF(E667="","",IF(OR(ISNUMBER(SEARCH("狼",E667)),ISNUMBER(SEARCH("石像鬼",E667)),ISNUMBER(SEARCH("恶灵骑士",E667)),ISNUMBER(SEARCH("黑蝙蝠",E667)),ISNUMBER(SEARCH("血月使徒",E667))),"werewolves","villagers"))</f>
      </c>
      <c r="M667" s="0">
        <f>IF(F667="","",IF(ROUND(F667,2)=5,"win","loss"))</f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>
        <f>IF(D667="","",IFERROR(LOOKUP(2,1/(($D$2:$D$1001=D667)*($M$2:$M$1001="win")),$L$2:$L$1001),""))</f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 t="inlineStr">
        <is>
          <t xml:space="preserve"/>
        </is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>
        <f>IF(E668="","",IF(OR(ISNUMBER(SEARCH("狼",E668)),ISNUMBER(SEARCH("石像鬼",E668)),ISNUMBER(SEARCH("恶灵骑士",E668)),ISNUMBER(SEARCH("黑蝙蝠",E668)),ISNUMBER(SEARCH("血月使徒",E668))),"werewolves","villagers"))</f>
      </c>
      <c r="M668" s="0">
        <f>IF(F668="","",IF(ROUND(F668,2)=5,"win","loss"))</f>
      </c>
      <c r="N668" s="0" t="inlineStr">
        <is>
          <t xml:space="preserve"/>
        </is>
      </c>
      <c r="O668" s="0" t="inlineStr">
        <is>
          <t xml:space="preserve"/>
        </is>
      </c>
      <c r="P668" s="0" t="inlineStr">
        <is>
          <t xml:space="preserve"/>
        </is>
      </c>
      <c r="Q668" s="0" t="inlineStr">
        <is>
          <t xml:space="preserve"/>
        </is>
      </c>
      <c r="R668" s="0">
        <f>IF(D668="","",IFERROR(LOOKUP(2,1/(($D$2:$D$1001=D668)*($M$2:$M$1001="win")),$L$2:$L$1001),""))</f>
      </c>
      <c r="S668" s="0" t="inlineStr">
        <is>
          <t xml:space="preserve"/>
        </is>
      </c>
      <c r="T668" s="0" t="inlineStr">
        <is>
          <t xml:space="preserve"/>
        </is>
      </c>
      <c r="U668" s="0" t="inlineStr">
        <is>
          <t xml:space="preserve"/>
        </is>
      </c>
      <c r="V668" s="0" t="inlineStr">
        <is>
          <t xml:space="preserve"/>
        </is>
      </c>
      <c r="W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 t="inlineStr">
        <is>
          <t xml:space="preserve"/>
        </is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>
        <f>IF(E669="","",IF(OR(ISNUMBER(SEARCH("狼",E669)),ISNUMBER(SEARCH("石像鬼",E669)),ISNUMBER(SEARCH("恶灵骑士",E669)),ISNUMBER(SEARCH("黑蝙蝠",E669)),ISNUMBER(SEARCH("血月使徒",E669))),"werewolves","villagers"))</f>
      </c>
      <c r="M669" s="0">
        <f>IF(F669="","",IF(ROUND(F669,2)=5,"win","loss"))</f>
      </c>
      <c r="N669" s="0" t="inlineStr">
        <is>
          <t xml:space="preserve"/>
        </is>
      </c>
      <c r="O669" s="0" t="inlineStr">
        <is>
          <t xml:space="preserve"/>
        </is>
      </c>
      <c r="P669" s="0" t="inlineStr">
        <is>
          <t xml:space="preserve"/>
        </is>
      </c>
      <c r="Q669" s="0" t="inlineStr">
        <is>
          <t xml:space="preserve"/>
        </is>
      </c>
      <c r="R669" s="0">
        <f>IF(D669="","",IFERROR(LOOKUP(2,1/(($D$2:$D$1001=D669)*($M$2:$M$1001="win")),$L$2:$L$1001),""))</f>
      </c>
      <c r="S669" s="0" t="inlineStr">
        <is>
          <t xml:space="preserve"/>
        </is>
      </c>
      <c r="T669" s="0" t="inlineStr">
        <is>
          <t xml:space="preserve"/>
        </is>
      </c>
      <c r="U669" s="0" t="inlineStr">
        <is>
          <t xml:space="preserve"/>
        </is>
      </c>
      <c r="V669" s="0" t="inlineStr">
        <is>
          <t xml:space="preserve"/>
        </is>
      </c>
      <c r="W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 t="inlineStr">
        <is>
          <t xml:space="preserve"/>
        </is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>
        <f>IF(E670="","",IF(OR(ISNUMBER(SEARCH("狼",E670)),ISNUMBER(SEARCH("石像鬼",E670)),ISNUMBER(SEARCH("恶灵骑士",E670)),ISNUMBER(SEARCH("黑蝙蝠",E670)),ISNUMBER(SEARCH("血月使徒",E670))),"werewolves","villagers"))</f>
      </c>
      <c r="M670" s="0">
        <f>IF(F670="","",IF(ROUND(F670,2)=5,"win","loss"))</f>
      </c>
      <c r="N670" s="0" t="inlineStr">
        <is>
          <t xml:space="preserve"/>
        </is>
      </c>
      <c r="O670" s="0" t="inlineStr">
        <is>
          <t xml:space="preserve"/>
        </is>
      </c>
      <c r="P670" s="0" t="inlineStr">
        <is>
          <t xml:space="preserve"/>
        </is>
      </c>
      <c r="Q670" s="0" t="inlineStr">
        <is>
          <t xml:space="preserve"/>
        </is>
      </c>
      <c r="R670" s="0">
        <f>IF(D670="","",IFERROR(LOOKUP(2,1/(($D$2:$D$1001=D670)*($M$2:$M$1001="win")),$L$2:$L$1001),""))</f>
      </c>
      <c r="S670" s="0" t="inlineStr">
        <is>
          <t xml:space="preserve"/>
        </is>
      </c>
      <c r="T670" s="0" t="inlineStr">
        <is>
          <t xml:space="preserve"/>
        </is>
      </c>
      <c r="U670" s="0" t="inlineStr">
        <is>
          <t xml:space="preserve"/>
        </is>
      </c>
      <c r="V670" s="0" t="inlineStr">
        <is>
          <t xml:space="preserve"/>
        </is>
      </c>
      <c r="W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>
        <f>IF(E671="","",IF(OR(ISNUMBER(SEARCH("狼",E671)),ISNUMBER(SEARCH("石像鬼",E671)),ISNUMBER(SEARCH("恶灵骑士",E671)),ISNUMBER(SEARCH("黑蝙蝠",E671)),ISNUMBER(SEARCH("血月使徒",E671))),"werewolves","villagers"))</f>
      </c>
      <c r="M671" s="0">
        <f>IF(F671="","",IF(ROUND(F671,2)=5,"win","loss"))</f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>
        <f>IF(D671="","",IFERROR(LOOKUP(2,1/(($D$2:$D$1001=D671)*($M$2:$M$1001="win")),$L$2:$L$1001),""))</f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>
        <f>IF(E672="","",IF(OR(ISNUMBER(SEARCH("狼",E672)),ISNUMBER(SEARCH("石像鬼",E672)),ISNUMBER(SEARCH("恶灵骑士",E672)),ISNUMBER(SEARCH("黑蝙蝠",E672)),ISNUMBER(SEARCH("血月使徒",E672))),"werewolves","villagers"))</f>
      </c>
      <c r="M672" s="0">
        <f>IF(F672="","",IF(ROUND(F672,2)=5,"win","loss"))</f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>
        <f>IF(D672="","",IFERROR(LOOKUP(2,1/(($D$2:$D$1001=D672)*($M$2:$M$1001="win")),$L$2:$L$1001),""))</f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 t="inlineStr">
        <is>
          <t xml:space="preserve"/>
        </is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>
        <f>IF(E673="","",IF(OR(ISNUMBER(SEARCH("狼",E673)),ISNUMBER(SEARCH("石像鬼",E673)),ISNUMBER(SEARCH("恶灵骑士",E673)),ISNUMBER(SEARCH("黑蝙蝠",E673)),ISNUMBER(SEARCH("血月使徒",E673))),"werewolves","villagers"))</f>
      </c>
      <c r="M673" s="0">
        <f>IF(F673="","",IF(ROUND(F673,2)=5,"win","loss"))</f>
      </c>
      <c r="N673" s="0" t="inlineStr">
        <is>
          <t xml:space="preserve"/>
        </is>
      </c>
      <c r="O673" s="0" t="inlineStr">
        <is>
          <t xml:space="preserve"/>
        </is>
      </c>
      <c r="P673" s="0" t="inlineStr">
        <is>
          <t xml:space="preserve"/>
        </is>
      </c>
      <c r="Q673" s="0" t="inlineStr">
        <is>
          <t xml:space="preserve"/>
        </is>
      </c>
      <c r="R673" s="0">
        <f>IF(D673="","",IFERROR(LOOKUP(2,1/(($D$2:$D$1001=D673)*($M$2:$M$1001="win")),$L$2:$L$1001),""))</f>
      </c>
      <c r="S673" s="0" t="inlineStr">
        <is>
          <t xml:space="preserve"/>
        </is>
      </c>
      <c r="T673" s="0" t="inlineStr">
        <is>
          <t xml:space="preserve"/>
        </is>
      </c>
      <c r="U673" s="0" t="inlineStr">
        <is>
          <t xml:space="preserve"/>
        </is>
      </c>
      <c r="V673" s="0" t="inlineStr">
        <is>
          <t xml:space="preserve"/>
        </is>
      </c>
      <c r="W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 t="inlineStr">
        <is>
          <t xml:space="preserve"/>
        </is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>
        <f>IF(E674="","",IF(OR(ISNUMBER(SEARCH("狼",E674)),ISNUMBER(SEARCH("石像鬼",E674)),ISNUMBER(SEARCH("恶灵骑士",E674)),ISNUMBER(SEARCH("黑蝙蝠",E674)),ISNUMBER(SEARCH("血月使徒",E674))),"werewolves","villagers"))</f>
      </c>
      <c r="M674" s="0">
        <f>IF(F674="","",IF(ROUND(F674,2)=5,"win","loss"))</f>
      </c>
      <c r="N674" s="0" t="inlineStr">
        <is>
          <t xml:space="preserve"/>
        </is>
      </c>
      <c r="O674" s="0" t="inlineStr">
        <is>
          <t xml:space="preserve"/>
        </is>
      </c>
      <c r="P674" s="0" t="inlineStr">
        <is>
          <t xml:space="preserve"/>
        </is>
      </c>
      <c r="Q674" s="0" t="inlineStr">
        <is>
          <t xml:space="preserve"/>
        </is>
      </c>
      <c r="R674" s="0">
        <f>IF(D674="","",IFERROR(LOOKUP(2,1/(($D$2:$D$1001=D674)*($M$2:$M$1001="win")),$L$2:$L$1001),""))</f>
      </c>
      <c r="S674" s="0" t="inlineStr">
        <is>
          <t xml:space="preserve"/>
        </is>
      </c>
      <c r="T674" s="0" t="inlineStr">
        <is>
          <t xml:space="preserve"/>
        </is>
      </c>
      <c r="U674" s="0" t="inlineStr">
        <is>
          <t xml:space="preserve"/>
        </is>
      </c>
      <c r="V674" s="0" t="inlineStr">
        <is>
          <t xml:space="preserve"/>
        </is>
      </c>
      <c r="W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>
        <f>IF(E675="","",IF(OR(ISNUMBER(SEARCH("狼",E675)),ISNUMBER(SEARCH("石像鬼",E675)),ISNUMBER(SEARCH("恶灵骑士",E675)),ISNUMBER(SEARCH("黑蝙蝠",E675)),ISNUMBER(SEARCH("血月使徒",E675))),"werewolves","villagers"))</f>
      </c>
      <c r="M675" s="0">
        <f>IF(F675="","",IF(ROUND(F675,2)=5,"win","loss"))</f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>
        <f>IF(D675="","",IFERROR(LOOKUP(2,1/(($D$2:$D$1001=D675)*($M$2:$M$1001="win")),$L$2:$L$1001),""))</f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 t="inlineStr">
        <is>
          <t xml:space="preserve"/>
        </is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>
        <f>IF(E676="","",IF(OR(ISNUMBER(SEARCH("狼",E676)),ISNUMBER(SEARCH("石像鬼",E676)),ISNUMBER(SEARCH("恶灵骑士",E676)),ISNUMBER(SEARCH("黑蝙蝠",E676)),ISNUMBER(SEARCH("血月使徒",E676))),"werewolves","villagers"))</f>
      </c>
      <c r="M676" s="0">
        <f>IF(F676="","",IF(ROUND(F676,2)=5,"win","loss"))</f>
      </c>
      <c r="N676" s="0" t="inlineStr">
        <is>
          <t xml:space="preserve"/>
        </is>
      </c>
      <c r="O676" s="0" t="inlineStr">
        <is>
          <t xml:space="preserve"/>
        </is>
      </c>
      <c r="P676" s="0" t="inlineStr">
        <is>
          <t xml:space="preserve"/>
        </is>
      </c>
      <c r="Q676" s="0" t="inlineStr">
        <is>
          <t xml:space="preserve"/>
        </is>
      </c>
      <c r="R676" s="0">
        <f>IF(D676="","",IFERROR(LOOKUP(2,1/(($D$2:$D$1001=D676)*($M$2:$M$1001="win")),$L$2:$L$1001),""))</f>
      </c>
      <c r="S676" s="0" t="inlineStr">
        <is>
          <t xml:space="preserve"/>
        </is>
      </c>
      <c r="T676" s="0" t="inlineStr">
        <is>
          <t xml:space="preserve"/>
        </is>
      </c>
      <c r="U676" s="0" t="inlineStr">
        <is>
          <t xml:space="preserve"/>
        </is>
      </c>
      <c r="V676" s="0" t="inlineStr">
        <is>
          <t xml:space="preserve"/>
        </is>
      </c>
      <c r="W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>
        <f>IF(E677="","",IF(OR(ISNUMBER(SEARCH("狼",E677)),ISNUMBER(SEARCH("石像鬼",E677)),ISNUMBER(SEARCH("恶灵骑士",E677)),ISNUMBER(SEARCH("黑蝙蝠",E677)),ISNUMBER(SEARCH("血月使徒",E677))),"werewolves","villagers"))</f>
      </c>
      <c r="M677" s="0">
        <f>IF(F677="","",IF(ROUND(F677,2)=5,"win","loss"))</f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>
        <f>IF(D677="","",IFERROR(LOOKUP(2,1/(($D$2:$D$1001=D677)*($M$2:$M$1001="win")),$L$2:$L$1001),""))</f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 t="inlineStr">
        <is>
          <t xml:space="preserve"/>
        </is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>
        <f>IF(E678="","",IF(OR(ISNUMBER(SEARCH("狼",E678)),ISNUMBER(SEARCH("石像鬼",E678)),ISNUMBER(SEARCH("恶灵骑士",E678)),ISNUMBER(SEARCH("黑蝙蝠",E678)),ISNUMBER(SEARCH("血月使徒",E678))),"werewolves","villagers"))</f>
      </c>
      <c r="M678" s="0">
        <f>IF(F678="","",IF(ROUND(F678,2)=5,"win","loss"))</f>
      </c>
      <c r="N678" s="0" t="inlineStr">
        <is>
          <t xml:space="preserve"/>
        </is>
      </c>
      <c r="O678" s="0" t="inlineStr">
        <is>
          <t xml:space="preserve"/>
        </is>
      </c>
      <c r="P678" s="0" t="inlineStr">
        <is>
          <t xml:space="preserve"/>
        </is>
      </c>
      <c r="Q678" s="0" t="inlineStr">
        <is>
          <t xml:space="preserve"/>
        </is>
      </c>
      <c r="R678" s="0">
        <f>IF(D678="","",IFERROR(LOOKUP(2,1/(($D$2:$D$1001=D678)*($M$2:$M$1001="win")),$L$2:$L$1001),""))</f>
      </c>
      <c r="S678" s="0" t="inlineStr">
        <is>
          <t xml:space="preserve"/>
        </is>
      </c>
      <c r="T678" s="0" t="inlineStr">
        <is>
          <t xml:space="preserve"/>
        </is>
      </c>
      <c r="U678" s="0" t="inlineStr">
        <is>
          <t xml:space="preserve"/>
        </is>
      </c>
      <c r="V678" s="0" t="inlineStr">
        <is>
          <t xml:space="preserve"/>
        </is>
      </c>
      <c r="W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>
        <f>IF(E679="","",IF(OR(ISNUMBER(SEARCH("狼",E679)),ISNUMBER(SEARCH("石像鬼",E679)),ISNUMBER(SEARCH("恶灵骑士",E679)),ISNUMBER(SEARCH("黑蝙蝠",E679)),ISNUMBER(SEARCH("血月使徒",E679))),"werewolves","villagers"))</f>
      </c>
      <c r="M679" s="0">
        <f>IF(F679="","",IF(ROUND(F679,2)=5,"win","loss"))</f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>
        <f>IF(D679="","",IFERROR(LOOKUP(2,1/(($D$2:$D$1001=D679)*($M$2:$M$1001="win")),$L$2:$L$1001),""))</f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>
        <f>IF(E680="","",IF(OR(ISNUMBER(SEARCH("狼",E680)),ISNUMBER(SEARCH("石像鬼",E680)),ISNUMBER(SEARCH("恶灵骑士",E680)),ISNUMBER(SEARCH("黑蝙蝠",E680)),ISNUMBER(SEARCH("血月使徒",E680))),"werewolves","villagers"))</f>
      </c>
      <c r="M680" s="0">
        <f>IF(F680="","",IF(ROUND(F680,2)=5,"win","loss"))</f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>
        <f>IF(D680="","",IFERROR(LOOKUP(2,1/(($D$2:$D$1001=D680)*($M$2:$M$1001="win")),$L$2:$L$1001),""))</f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>
        <f>IF(E681="","",IF(OR(ISNUMBER(SEARCH("狼",E681)),ISNUMBER(SEARCH("石像鬼",E681)),ISNUMBER(SEARCH("恶灵骑士",E681)),ISNUMBER(SEARCH("黑蝙蝠",E681)),ISNUMBER(SEARCH("血月使徒",E681))),"werewolves","villagers"))</f>
      </c>
      <c r="M681" s="0">
        <f>IF(F681="","",IF(ROUND(F681,2)=5,"win","loss"))</f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>
        <f>IF(D681="","",IFERROR(LOOKUP(2,1/(($D$2:$D$1001=D681)*($M$2:$M$1001="win")),$L$2:$L$1001),""))</f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 t="inlineStr">
        <is>
          <t xml:space="preserve"/>
        </is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>
        <f>IF(E682="","",IF(OR(ISNUMBER(SEARCH("狼",E682)),ISNUMBER(SEARCH("石像鬼",E682)),ISNUMBER(SEARCH("恶灵骑士",E682)),ISNUMBER(SEARCH("黑蝙蝠",E682)),ISNUMBER(SEARCH("血月使徒",E682))),"werewolves","villagers"))</f>
      </c>
      <c r="M682" s="0">
        <f>IF(F682="","",IF(ROUND(F682,2)=5,"win","loss"))</f>
      </c>
      <c r="N682" s="0" t="inlineStr">
        <is>
          <t xml:space="preserve"/>
        </is>
      </c>
      <c r="O682" s="0" t="inlineStr">
        <is>
          <t xml:space="preserve"/>
        </is>
      </c>
      <c r="P682" s="0" t="inlineStr">
        <is>
          <t xml:space="preserve"/>
        </is>
      </c>
      <c r="Q682" s="0" t="inlineStr">
        <is>
          <t xml:space="preserve"/>
        </is>
      </c>
      <c r="R682" s="0">
        <f>IF(D682="","",IFERROR(LOOKUP(2,1/(($D$2:$D$1001=D682)*($M$2:$M$1001="win")),$L$2:$L$1001),""))</f>
      </c>
      <c r="S682" s="0" t="inlineStr">
        <is>
          <t xml:space="preserve"/>
        </is>
      </c>
      <c r="T682" s="0" t="inlineStr">
        <is>
          <t xml:space="preserve"/>
        </is>
      </c>
      <c r="U682" s="0" t="inlineStr">
        <is>
          <t xml:space="preserve"/>
        </is>
      </c>
      <c r="V682" s="0" t="inlineStr">
        <is>
          <t xml:space="preserve"/>
        </is>
      </c>
      <c r="W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>
        <f>IF(E683="","",IF(OR(ISNUMBER(SEARCH("狼",E683)),ISNUMBER(SEARCH("石像鬼",E683)),ISNUMBER(SEARCH("恶灵骑士",E683)),ISNUMBER(SEARCH("黑蝙蝠",E683)),ISNUMBER(SEARCH("血月使徒",E683))),"werewolves","villagers"))</f>
      </c>
      <c r="M683" s="0">
        <f>IF(F683="","",IF(ROUND(F683,2)=5,"win","loss"))</f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>
        <f>IF(D683="","",IFERROR(LOOKUP(2,1/(($D$2:$D$1001=D683)*($M$2:$M$1001="win")),$L$2:$L$1001),""))</f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>
        <f>IF(E684="","",IF(OR(ISNUMBER(SEARCH("狼",E684)),ISNUMBER(SEARCH("石像鬼",E684)),ISNUMBER(SEARCH("恶灵骑士",E684)),ISNUMBER(SEARCH("黑蝙蝠",E684)),ISNUMBER(SEARCH("血月使徒",E684))),"werewolves","villagers"))</f>
      </c>
      <c r="M684" s="0">
        <f>IF(F684="","",IF(ROUND(F684,2)=5,"win","loss"))</f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>
        <f>IF(D684="","",IFERROR(LOOKUP(2,1/(($D$2:$D$1001=D684)*($M$2:$M$1001="win")),$L$2:$L$1001),""))</f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>
        <f>IF(E685="","",IF(OR(ISNUMBER(SEARCH("狼",E685)),ISNUMBER(SEARCH("石像鬼",E685)),ISNUMBER(SEARCH("恶灵骑士",E685)),ISNUMBER(SEARCH("黑蝙蝠",E685)),ISNUMBER(SEARCH("血月使徒",E685))),"werewolves","villagers"))</f>
      </c>
      <c r="M685" s="0">
        <f>IF(F685="","",IF(ROUND(F685,2)=5,"win","loss"))</f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>
        <f>IF(D685="","",IFERROR(LOOKUP(2,1/(($D$2:$D$1001=D685)*($M$2:$M$1001="win")),$L$2:$L$1001),""))</f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>
        <f>IF(E686="","",IF(OR(ISNUMBER(SEARCH("狼",E686)),ISNUMBER(SEARCH("石像鬼",E686)),ISNUMBER(SEARCH("恶灵骑士",E686)),ISNUMBER(SEARCH("黑蝙蝠",E686)),ISNUMBER(SEARCH("血月使徒",E686))),"werewolves","villagers"))</f>
      </c>
      <c r="M686" s="0">
        <f>IF(F686="","",IF(ROUND(F686,2)=5,"win","loss"))</f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>
        <f>IF(D686="","",IFERROR(LOOKUP(2,1/(($D$2:$D$1001=D686)*($M$2:$M$1001="win")),$L$2:$L$1001),""))</f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 t="inlineStr">
        <is>
          <t xml:space="preserve"/>
        </is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>
        <f>IF(E687="","",IF(OR(ISNUMBER(SEARCH("狼",E687)),ISNUMBER(SEARCH("石像鬼",E687)),ISNUMBER(SEARCH("恶灵骑士",E687)),ISNUMBER(SEARCH("黑蝙蝠",E687)),ISNUMBER(SEARCH("血月使徒",E687))),"werewolves","villagers"))</f>
      </c>
      <c r="M687" s="0">
        <f>IF(F687="","",IF(ROUND(F687,2)=5,"win","loss"))</f>
      </c>
      <c r="N687" s="0" t="inlineStr">
        <is>
          <t xml:space="preserve"/>
        </is>
      </c>
      <c r="O687" s="0" t="inlineStr">
        <is>
          <t xml:space="preserve"/>
        </is>
      </c>
      <c r="P687" s="0" t="inlineStr">
        <is>
          <t xml:space="preserve"/>
        </is>
      </c>
      <c r="Q687" s="0" t="inlineStr">
        <is>
          <t xml:space="preserve"/>
        </is>
      </c>
      <c r="R687" s="0">
        <f>IF(D687="","",IFERROR(LOOKUP(2,1/(($D$2:$D$1001=D687)*($M$2:$M$1001="win")),$L$2:$L$1001),""))</f>
      </c>
      <c r="S687" s="0" t="inlineStr">
        <is>
          <t xml:space="preserve"/>
        </is>
      </c>
      <c r="T687" s="0" t="inlineStr">
        <is>
          <t xml:space="preserve"/>
        </is>
      </c>
      <c r="U687" s="0" t="inlineStr">
        <is>
          <t xml:space="preserve"/>
        </is>
      </c>
      <c r="V687" s="0" t="inlineStr">
        <is>
          <t xml:space="preserve"/>
        </is>
      </c>
      <c r="W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 t="inlineStr">
        <is>
          <t xml:space="preserve"/>
        </is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>
        <f>IF(E688="","",IF(OR(ISNUMBER(SEARCH("狼",E688)),ISNUMBER(SEARCH("石像鬼",E688)),ISNUMBER(SEARCH("恶灵骑士",E688)),ISNUMBER(SEARCH("黑蝙蝠",E688)),ISNUMBER(SEARCH("血月使徒",E688))),"werewolves","villagers"))</f>
      </c>
      <c r="M688" s="0">
        <f>IF(F688="","",IF(ROUND(F688,2)=5,"win","loss"))</f>
      </c>
      <c r="N688" s="0" t="inlineStr">
        <is>
          <t xml:space="preserve"/>
        </is>
      </c>
      <c r="O688" s="0" t="inlineStr">
        <is>
          <t xml:space="preserve"/>
        </is>
      </c>
      <c r="P688" s="0" t="inlineStr">
        <is>
          <t xml:space="preserve"/>
        </is>
      </c>
      <c r="Q688" s="0" t="inlineStr">
        <is>
          <t xml:space="preserve"/>
        </is>
      </c>
      <c r="R688" s="0">
        <f>IF(D688="","",IFERROR(LOOKUP(2,1/(($D$2:$D$1001=D688)*($M$2:$M$1001="win")),$L$2:$L$1001),""))</f>
      </c>
      <c r="S688" s="0" t="inlineStr">
        <is>
          <t xml:space="preserve"/>
        </is>
      </c>
      <c r="T688" s="0" t="inlineStr">
        <is>
          <t xml:space="preserve"/>
        </is>
      </c>
      <c r="U688" s="0" t="inlineStr">
        <is>
          <t xml:space="preserve"/>
        </is>
      </c>
      <c r="V688" s="0" t="inlineStr">
        <is>
          <t xml:space="preserve"/>
        </is>
      </c>
      <c r="W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>
        <f>IF(E689="","",IF(OR(ISNUMBER(SEARCH("狼",E689)),ISNUMBER(SEARCH("石像鬼",E689)),ISNUMBER(SEARCH("恶灵骑士",E689)),ISNUMBER(SEARCH("黑蝙蝠",E689)),ISNUMBER(SEARCH("血月使徒",E689))),"werewolves","villagers"))</f>
      </c>
      <c r="M689" s="0">
        <f>IF(F689="","",IF(ROUND(F689,2)=5,"win","loss"))</f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>
        <f>IF(D689="","",IFERROR(LOOKUP(2,1/(($D$2:$D$1001=D689)*($M$2:$M$1001="win")),$L$2:$L$1001),""))</f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>
        <f>IF(E690="","",IF(OR(ISNUMBER(SEARCH("狼",E690)),ISNUMBER(SEARCH("石像鬼",E690)),ISNUMBER(SEARCH("恶灵骑士",E690)),ISNUMBER(SEARCH("黑蝙蝠",E690)),ISNUMBER(SEARCH("血月使徒",E690))),"werewolves","villagers"))</f>
      </c>
      <c r="M690" s="0">
        <f>IF(F690="","",IF(ROUND(F690,2)=5,"win","loss"))</f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>
        <f>IF(D690="","",IFERROR(LOOKUP(2,1/(($D$2:$D$1001=D690)*($M$2:$M$1001="win")),$L$2:$L$1001),""))</f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 t="inlineStr">
        <is>
          <t xml:space="preserve"/>
        </is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>
        <f>IF(E691="","",IF(OR(ISNUMBER(SEARCH("狼",E691)),ISNUMBER(SEARCH("石像鬼",E691)),ISNUMBER(SEARCH("恶灵骑士",E691)),ISNUMBER(SEARCH("黑蝙蝠",E691)),ISNUMBER(SEARCH("血月使徒",E691))),"werewolves","villagers"))</f>
      </c>
      <c r="M691" s="0">
        <f>IF(F691="","",IF(ROUND(F691,2)=5,"win","loss"))</f>
      </c>
      <c r="N691" s="0" t="inlineStr">
        <is>
          <t xml:space="preserve"/>
        </is>
      </c>
      <c r="O691" s="0" t="inlineStr">
        <is>
          <t xml:space="preserve"/>
        </is>
      </c>
      <c r="P691" s="0" t="inlineStr">
        <is>
          <t xml:space="preserve"/>
        </is>
      </c>
      <c r="Q691" s="0" t="inlineStr">
        <is>
          <t xml:space="preserve"/>
        </is>
      </c>
      <c r="R691" s="0">
        <f>IF(D691="","",IFERROR(LOOKUP(2,1/(($D$2:$D$1001=D691)*($M$2:$M$1001="win")),$L$2:$L$1001),""))</f>
      </c>
      <c r="S691" s="0" t="inlineStr">
        <is>
          <t xml:space="preserve"/>
        </is>
      </c>
      <c r="T691" s="0" t="inlineStr">
        <is>
          <t xml:space="preserve"/>
        </is>
      </c>
      <c r="U691" s="0" t="inlineStr">
        <is>
          <t xml:space="preserve"/>
        </is>
      </c>
      <c r="V691" s="0" t="inlineStr">
        <is>
          <t xml:space="preserve"/>
        </is>
      </c>
      <c r="W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 t="inlineStr">
        <is>
          <t xml:space="preserve"/>
        </is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>
        <f>IF(E692="","",IF(OR(ISNUMBER(SEARCH("狼",E692)),ISNUMBER(SEARCH("石像鬼",E692)),ISNUMBER(SEARCH("恶灵骑士",E692)),ISNUMBER(SEARCH("黑蝙蝠",E692)),ISNUMBER(SEARCH("血月使徒",E692))),"werewolves","villagers"))</f>
      </c>
      <c r="M692" s="0">
        <f>IF(F692="","",IF(ROUND(F692,2)=5,"win","loss"))</f>
      </c>
      <c r="N692" s="0" t="inlineStr">
        <is>
          <t xml:space="preserve"/>
        </is>
      </c>
      <c r="O692" s="0" t="inlineStr">
        <is>
          <t xml:space="preserve"/>
        </is>
      </c>
      <c r="P692" s="0" t="inlineStr">
        <is>
          <t xml:space="preserve"/>
        </is>
      </c>
      <c r="Q692" s="0" t="inlineStr">
        <is>
          <t xml:space="preserve"/>
        </is>
      </c>
      <c r="R692" s="0">
        <f>IF(D692="","",IFERROR(LOOKUP(2,1/(($D$2:$D$1001=D692)*($M$2:$M$1001="win")),$L$2:$L$1001),""))</f>
      </c>
      <c r="S692" s="0" t="inlineStr">
        <is>
          <t xml:space="preserve"/>
        </is>
      </c>
      <c r="T692" s="0" t="inlineStr">
        <is>
          <t xml:space="preserve"/>
        </is>
      </c>
      <c r="U692" s="0" t="inlineStr">
        <is>
          <t xml:space="preserve"/>
        </is>
      </c>
      <c r="V692" s="0" t="inlineStr">
        <is>
          <t xml:space="preserve"/>
        </is>
      </c>
      <c r="W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>
        <f>IF(E693="","",IF(OR(ISNUMBER(SEARCH("狼",E693)),ISNUMBER(SEARCH("石像鬼",E693)),ISNUMBER(SEARCH("恶灵骑士",E693)),ISNUMBER(SEARCH("黑蝙蝠",E693)),ISNUMBER(SEARCH("血月使徒",E693))),"werewolves","villagers"))</f>
      </c>
      <c r="M693" s="0">
        <f>IF(F693="","",IF(ROUND(F693,2)=5,"win","loss"))</f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>
        <f>IF(D693="","",IFERROR(LOOKUP(2,1/(($D$2:$D$1001=D693)*($M$2:$M$1001="win")),$L$2:$L$1001),""))</f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>
        <f>IF(E694="","",IF(OR(ISNUMBER(SEARCH("狼",E694)),ISNUMBER(SEARCH("石像鬼",E694)),ISNUMBER(SEARCH("恶灵骑士",E694)),ISNUMBER(SEARCH("黑蝙蝠",E694)),ISNUMBER(SEARCH("血月使徒",E694))),"werewolves","villagers"))</f>
      </c>
      <c r="M694" s="0">
        <f>IF(F694="","",IF(ROUND(F694,2)=5,"win","loss"))</f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>
        <f>IF(D694="","",IFERROR(LOOKUP(2,1/(($D$2:$D$1001=D694)*($M$2:$M$1001="win")),$L$2:$L$1001),""))</f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 t="inlineStr">
        <is>
          <t xml:space="preserve"/>
        </is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>
        <f>IF(E695="","",IF(OR(ISNUMBER(SEARCH("狼",E695)),ISNUMBER(SEARCH("石像鬼",E695)),ISNUMBER(SEARCH("恶灵骑士",E695)),ISNUMBER(SEARCH("黑蝙蝠",E695)),ISNUMBER(SEARCH("血月使徒",E695))),"werewolves","villagers"))</f>
      </c>
      <c r="M695" s="0">
        <f>IF(F695="","",IF(ROUND(F695,2)=5,"win","loss"))</f>
      </c>
      <c r="N695" s="0" t="inlineStr">
        <is>
          <t xml:space="preserve"/>
        </is>
      </c>
      <c r="O695" s="0" t="inlineStr">
        <is>
          <t xml:space="preserve"/>
        </is>
      </c>
      <c r="P695" s="0" t="inlineStr">
        <is>
          <t xml:space="preserve"/>
        </is>
      </c>
      <c r="Q695" s="0" t="inlineStr">
        <is>
          <t xml:space="preserve"/>
        </is>
      </c>
      <c r="R695" s="0">
        <f>IF(D695="","",IFERROR(LOOKUP(2,1/(($D$2:$D$1001=D695)*($M$2:$M$1001="win")),$L$2:$L$1001),""))</f>
      </c>
      <c r="S695" s="0" t="inlineStr">
        <is>
          <t xml:space="preserve"/>
        </is>
      </c>
      <c r="T695" s="0" t="inlineStr">
        <is>
          <t xml:space="preserve"/>
        </is>
      </c>
      <c r="U695" s="0" t="inlineStr">
        <is>
          <t xml:space="preserve"/>
        </is>
      </c>
      <c r="V695" s="0" t="inlineStr">
        <is>
          <t xml:space="preserve"/>
        </is>
      </c>
      <c r="W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 t="inlineStr">
        <is>
          <t xml:space="preserve"/>
        </is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>
        <f>IF(E696="","",IF(OR(ISNUMBER(SEARCH("狼",E696)),ISNUMBER(SEARCH("石像鬼",E696)),ISNUMBER(SEARCH("恶灵骑士",E696)),ISNUMBER(SEARCH("黑蝙蝠",E696)),ISNUMBER(SEARCH("血月使徒",E696))),"werewolves","villagers"))</f>
      </c>
      <c r="M696" s="0">
        <f>IF(F696="","",IF(ROUND(F696,2)=5,"win","loss"))</f>
      </c>
      <c r="N696" s="0" t="inlineStr">
        <is>
          <t xml:space="preserve"/>
        </is>
      </c>
      <c r="O696" s="0" t="inlineStr">
        <is>
          <t xml:space="preserve"/>
        </is>
      </c>
      <c r="P696" s="0" t="inlineStr">
        <is>
          <t xml:space="preserve"/>
        </is>
      </c>
      <c r="Q696" s="0" t="inlineStr">
        <is>
          <t xml:space="preserve"/>
        </is>
      </c>
      <c r="R696" s="0">
        <f>IF(D696="","",IFERROR(LOOKUP(2,1/(($D$2:$D$1001=D696)*($M$2:$M$1001="win")),$L$2:$L$1001),""))</f>
      </c>
      <c r="S696" s="0" t="inlineStr">
        <is>
          <t xml:space="preserve"/>
        </is>
      </c>
      <c r="T696" s="0" t="inlineStr">
        <is>
          <t xml:space="preserve"/>
        </is>
      </c>
      <c r="U696" s="0" t="inlineStr">
        <is>
          <t xml:space="preserve"/>
        </is>
      </c>
      <c r="V696" s="0" t="inlineStr">
        <is>
          <t xml:space="preserve"/>
        </is>
      </c>
      <c r="W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>
        <f>IF(E697="","",IF(OR(ISNUMBER(SEARCH("狼",E697)),ISNUMBER(SEARCH("石像鬼",E697)),ISNUMBER(SEARCH("恶灵骑士",E697)),ISNUMBER(SEARCH("黑蝙蝠",E697)),ISNUMBER(SEARCH("血月使徒",E697))),"werewolves","villagers"))</f>
      </c>
      <c r="M697" s="0">
        <f>IF(F697="","",IF(ROUND(F697,2)=5,"win","loss"))</f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>
        <f>IF(D697="","",IFERROR(LOOKUP(2,1/(($D$2:$D$1001=D697)*($M$2:$M$1001="win")),$L$2:$L$1001),""))</f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>
        <f>IF(E698="","",IF(OR(ISNUMBER(SEARCH("狼",E698)),ISNUMBER(SEARCH("石像鬼",E698)),ISNUMBER(SEARCH("恶灵骑士",E698)),ISNUMBER(SEARCH("黑蝙蝠",E698)),ISNUMBER(SEARCH("血月使徒",E698))),"werewolves","villagers"))</f>
      </c>
      <c r="M698" s="0">
        <f>IF(F698="","",IF(ROUND(F698,2)=5,"win","loss"))</f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>
        <f>IF(D698="","",IFERROR(LOOKUP(2,1/(($D$2:$D$1001=D698)*($M$2:$M$1001="win")),$L$2:$L$1001),""))</f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>
        <f>IF(E699="","",IF(OR(ISNUMBER(SEARCH("狼",E699)),ISNUMBER(SEARCH("石像鬼",E699)),ISNUMBER(SEARCH("恶灵骑士",E699)),ISNUMBER(SEARCH("黑蝙蝠",E699)),ISNUMBER(SEARCH("血月使徒",E699))),"werewolves","villagers"))</f>
      </c>
      <c r="M699" s="0">
        <f>IF(F699="","",IF(ROUND(F699,2)=5,"win","loss"))</f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>
        <f>IF(D699="","",IFERROR(LOOKUP(2,1/(($D$2:$D$1001=D699)*($M$2:$M$1001="win")),$L$2:$L$1001),""))</f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 t="inlineStr">
        <is>
          <t xml:space="preserve"/>
        </is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>
        <f>IF(E700="","",IF(OR(ISNUMBER(SEARCH("狼",E700)),ISNUMBER(SEARCH("石像鬼",E700)),ISNUMBER(SEARCH("恶灵骑士",E700)),ISNUMBER(SEARCH("黑蝙蝠",E700)),ISNUMBER(SEARCH("血月使徒",E700))),"werewolves","villagers"))</f>
      </c>
      <c r="M700" s="0">
        <f>IF(F700="","",IF(ROUND(F700,2)=5,"win","loss"))</f>
      </c>
      <c r="N700" s="0" t="inlineStr">
        <is>
          <t xml:space="preserve"/>
        </is>
      </c>
      <c r="O700" s="0" t="inlineStr">
        <is>
          <t xml:space="preserve"/>
        </is>
      </c>
      <c r="P700" s="0" t="inlineStr">
        <is>
          <t xml:space="preserve"/>
        </is>
      </c>
      <c r="Q700" s="0" t="inlineStr">
        <is>
          <t xml:space="preserve"/>
        </is>
      </c>
      <c r="R700" s="0">
        <f>IF(D700="","",IFERROR(LOOKUP(2,1/(($D$2:$D$1001=D700)*($M$2:$M$1001="win")),$L$2:$L$1001),""))</f>
      </c>
      <c r="S700" s="0" t="inlineStr">
        <is>
          <t xml:space="preserve"/>
        </is>
      </c>
      <c r="T700" s="0" t="inlineStr">
        <is>
          <t xml:space="preserve"/>
        </is>
      </c>
      <c r="U700" s="0" t="inlineStr">
        <is>
          <t xml:space="preserve"/>
        </is>
      </c>
      <c r="V700" s="0" t="inlineStr">
        <is>
          <t xml:space="preserve"/>
        </is>
      </c>
      <c r="W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 t="inlineStr">
        <is>
          <t xml:space="preserve"/>
        </is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>
        <f>IF(E701="","",IF(OR(ISNUMBER(SEARCH("狼",E701)),ISNUMBER(SEARCH("石像鬼",E701)),ISNUMBER(SEARCH("恶灵骑士",E701)),ISNUMBER(SEARCH("黑蝙蝠",E701)),ISNUMBER(SEARCH("血月使徒",E701))),"werewolves","villagers"))</f>
      </c>
      <c r="M701" s="0">
        <f>IF(F701="","",IF(ROUND(F701,2)=5,"win","loss"))</f>
      </c>
      <c r="N701" s="0" t="inlineStr">
        <is>
          <t xml:space="preserve"/>
        </is>
      </c>
      <c r="O701" s="0" t="inlineStr">
        <is>
          <t xml:space="preserve"/>
        </is>
      </c>
      <c r="P701" s="0" t="inlineStr">
        <is>
          <t xml:space="preserve"/>
        </is>
      </c>
      <c r="Q701" s="0" t="inlineStr">
        <is>
          <t xml:space="preserve"/>
        </is>
      </c>
      <c r="R701" s="0">
        <f>IF(D701="","",IFERROR(LOOKUP(2,1/(($D$2:$D$1001=D701)*($M$2:$M$1001="win")),$L$2:$L$1001),""))</f>
      </c>
      <c r="S701" s="0" t="inlineStr">
        <is>
          <t xml:space="preserve"/>
        </is>
      </c>
      <c r="T701" s="0" t="inlineStr">
        <is>
          <t xml:space="preserve"/>
        </is>
      </c>
      <c r="U701" s="0" t="inlineStr">
        <is>
          <t xml:space="preserve"/>
        </is>
      </c>
      <c r="V701" s="0" t="inlineStr">
        <is>
          <t xml:space="preserve"/>
        </is>
      </c>
      <c r="W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>
        <f>IF(E702="","",IF(OR(ISNUMBER(SEARCH("狼",E702)),ISNUMBER(SEARCH("石像鬼",E702)),ISNUMBER(SEARCH("恶灵骑士",E702)),ISNUMBER(SEARCH("黑蝙蝠",E702)),ISNUMBER(SEARCH("血月使徒",E702))),"werewolves","villagers"))</f>
      </c>
      <c r="M702" s="0">
        <f>IF(F702="","",IF(ROUND(F702,2)=5,"win","loss"))</f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>
        <f>IF(D702="","",IFERROR(LOOKUP(2,1/(($D$2:$D$1001=D702)*($M$2:$M$1001="win")),$L$2:$L$1001),""))</f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 t="inlineStr">
        <is>
          <t xml:space="preserve"/>
        </is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>
        <f>IF(E703="","",IF(OR(ISNUMBER(SEARCH("狼",E703)),ISNUMBER(SEARCH("石像鬼",E703)),ISNUMBER(SEARCH("恶灵骑士",E703)),ISNUMBER(SEARCH("黑蝙蝠",E703)),ISNUMBER(SEARCH("血月使徒",E703))),"werewolves","villagers"))</f>
      </c>
      <c r="M703" s="0">
        <f>IF(F703="","",IF(ROUND(F703,2)=5,"win","loss"))</f>
      </c>
      <c r="N703" s="0" t="inlineStr">
        <is>
          <t xml:space="preserve"/>
        </is>
      </c>
      <c r="O703" s="0" t="inlineStr">
        <is>
          <t xml:space="preserve"/>
        </is>
      </c>
      <c r="P703" s="0" t="inlineStr">
        <is>
          <t xml:space="preserve"/>
        </is>
      </c>
      <c r="Q703" s="0" t="inlineStr">
        <is>
          <t xml:space="preserve"/>
        </is>
      </c>
      <c r="R703" s="0">
        <f>IF(D703="","",IFERROR(LOOKUP(2,1/(($D$2:$D$1001=D703)*($M$2:$M$1001="win")),$L$2:$L$1001),""))</f>
      </c>
      <c r="S703" s="0" t="inlineStr">
        <is>
          <t xml:space="preserve"/>
        </is>
      </c>
      <c r="T703" s="0" t="inlineStr">
        <is>
          <t xml:space="preserve"/>
        </is>
      </c>
      <c r="U703" s="0" t="inlineStr">
        <is>
          <t xml:space="preserve"/>
        </is>
      </c>
      <c r="V703" s="0" t="inlineStr">
        <is>
          <t xml:space="preserve"/>
        </is>
      </c>
      <c r="W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>
        <f>IF(E704="","",IF(OR(ISNUMBER(SEARCH("狼",E704)),ISNUMBER(SEARCH("石像鬼",E704)),ISNUMBER(SEARCH("恶灵骑士",E704)),ISNUMBER(SEARCH("黑蝙蝠",E704)),ISNUMBER(SEARCH("血月使徒",E704))),"werewolves","villagers"))</f>
      </c>
      <c r="M704" s="0">
        <f>IF(F704="","",IF(ROUND(F704,2)=5,"win","loss"))</f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>
        <f>IF(D704="","",IFERROR(LOOKUP(2,1/(($D$2:$D$1001=D704)*($M$2:$M$1001="win")),$L$2:$L$1001),""))</f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>
        <f>IF(E705="","",IF(OR(ISNUMBER(SEARCH("狼",E705)),ISNUMBER(SEARCH("石像鬼",E705)),ISNUMBER(SEARCH("恶灵骑士",E705)),ISNUMBER(SEARCH("黑蝙蝠",E705)),ISNUMBER(SEARCH("血月使徒",E705))),"werewolves","villagers"))</f>
      </c>
      <c r="M705" s="0">
        <f>IF(F705="","",IF(ROUND(F705,2)=5,"win","loss"))</f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>
        <f>IF(D705="","",IFERROR(LOOKUP(2,1/(($D$2:$D$1001=D705)*($M$2:$M$1001="win")),$L$2:$L$1001),""))</f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>
        <f>IF(E706="","",IF(OR(ISNUMBER(SEARCH("狼",E706)),ISNUMBER(SEARCH("石像鬼",E706)),ISNUMBER(SEARCH("恶灵骑士",E706)),ISNUMBER(SEARCH("黑蝙蝠",E706)),ISNUMBER(SEARCH("血月使徒",E706))),"werewolves","villagers"))</f>
      </c>
      <c r="M706" s="0">
        <f>IF(F706="","",IF(ROUND(F706,2)=5,"win","loss"))</f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>
        <f>IF(D706="","",IFERROR(LOOKUP(2,1/(($D$2:$D$1001=D706)*($M$2:$M$1001="win")),$L$2:$L$1001),""))</f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>
        <f>IF(E707="","",IF(OR(ISNUMBER(SEARCH("狼",E707)),ISNUMBER(SEARCH("石像鬼",E707)),ISNUMBER(SEARCH("恶灵骑士",E707)),ISNUMBER(SEARCH("黑蝙蝠",E707)),ISNUMBER(SEARCH("血月使徒",E707))),"werewolves","villagers"))</f>
      </c>
      <c r="M707" s="0">
        <f>IF(F707="","",IF(ROUND(F707,2)=5,"win","loss"))</f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>
        <f>IF(D707="","",IFERROR(LOOKUP(2,1/(($D$2:$D$1001=D707)*($M$2:$M$1001="win")),$L$2:$L$1001),""))</f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>
        <f>IF(E708="","",IF(OR(ISNUMBER(SEARCH("狼",E708)),ISNUMBER(SEARCH("石像鬼",E708)),ISNUMBER(SEARCH("恶灵骑士",E708)),ISNUMBER(SEARCH("黑蝙蝠",E708)),ISNUMBER(SEARCH("血月使徒",E708))),"werewolves","villagers"))</f>
      </c>
      <c r="M708" s="0">
        <f>IF(F708="","",IF(ROUND(F708,2)=5,"win","loss"))</f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>
        <f>IF(D708="","",IFERROR(LOOKUP(2,1/(($D$2:$D$1001=D708)*($M$2:$M$1001="win")),$L$2:$L$1001),""))</f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>
        <f>IF(E709="","",IF(OR(ISNUMBER(SEARCH("狼",E709)),ISNUMBER(SEARCH("石像鬼",E709)),ISNUMBER(SEARCH("恶灵骑士",E709)),ISNUMBER(SEARCH("黑蝙蝠",E709)),ISNUMBER(SEARCH("血月使徒",E709))),"werewolves","villagers"))</f>
      </c>
      <c r="M709" s="0">
        <f>IF(F709="","",IF(ROUND(F709,2)=5,"win","loss"))</f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>
        <f>IF(D709="","",IFERROR(LOOKUP(2,1/(($D$2:$D$1001=D709)*($M$2:$M$1001="win")),$L$2:$L$1001),""))</f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>
        <f>IF(E710="","",IF(OR(ISNUMBER(SEARCH("狼",E710)),ISNUMBER(SEARCH("石像鬼",E710)),ISNUMBER(SEARCH("恶灵骑士",E710)),ISNUMBER(SEARCH("黑蝙蝠",E710)),ISNUMBER(SEARCH("血月使徒",E710))),"werewolves","villagers"))</f>
      </c>
      <c r="M710" s="0">
        <f>IF(F710="","",IF(ROUND(F710,2)=5,"win","loss"))</f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>
        <f>IF(D710="","",IFERROR(LOOKUP(2,1/(($D$2:$D$1001=D710)*($M$2:$M$1001="win")),$L$2:$L$1001),""))</f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>
        <f>IF(E711="","",IF(OR(ISNUMBER(SEARCH("狼",E711)),ISNUMBER(SEARCH("石像鬼",E711)),ISNUMBER(SEARCH("恶灵骑士",E711)),ISNUMBER(SEARCH("黑蝙蝠",E711)),ISNUMBER(SEARCH("血月使徒",E711))),"werewolves","villagers"))</f>
      </c>
      <c r="M711" s="0">
        <f>IF(F711="","",IF(ROUND(F711,2)=5,"win","loss"))</f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>
        <f>IF(D711="","",IFERROR(LOOKUP(2,1/(($D$2:$D$1001=D711)*($M$2:$M$1001="win")),$L$2:$L$1001),""))</f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 t="inlineStr">
        <is>
          <t xml:space="preserve"/>
        </is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>
        <f>IF(E712="","",IF(OR(ISNUMBER(SEARCH("狼",E712)),ISNUMBER(SEARCH("石像鬼",E712)),ISNUMBER(SEARCH("恶灵骑士",E712)),ISNUMBER(SEARCH("黑蝙蝠",E712)),ISNUMBER(SEARCH("血月使徒",E712))),"werewolves","villagers"))</f>
      </c>
      <c r="M712" s="0">
        <f>IF(F712="","",IF(ROUND(F712,2)=5,"win","loss"))</f>
      </c>
      <c r="N712" s="0" t="inlineStr">
        <is>
          <t xml:space="preserve"/>
        </is>
      </c>
      <c r="O712" s="0" t="inlineStr">
        <is>
          <t xml:space="preserve"/>
        </is>
      </c>
      <c r="P712" s="0" t="inlineStr">
        <is>
          <t xml:space="preserve"/>
        </is>
      </c>
      <c r="Q712" s="0" t="inlineStr">
        <is>
          <t xml:space="preserve"/>
        </is>
      </c>
      <c r="R712" s="0">
        <f>IF(D712="","",IFERROR(LOOKUP(2,1/(($D$2:$D$1001=D712)*($M$2:$M$1001="win")),$L$2:$L$1001),""))</f>
      </c>
      <c r="S712" s="0" t="inlineStr">
        <is>
          <t xml:space="preserve"/>
        </is>
      </c>
      <c r="T712" s="0" t="inlineStr">
        <is>
          <t xml:space="preserve"/>
        </is>
      </c>
      <c r="U712" s="0" t="inlineStr">
        <is>
          <t xml:space="preserve"/>
        </is>
      </c>
      <c r="V712" s="0" t="inlineStr">
        <is>
          <t xml:space="preserve"/>
        </is>
      </c>
      <c r="W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>
        <f>IF(E713="","",IF(OR(ISNUMBER(SEARCH("狼",E713)),ISNUMBER(SEARCH("石像鬼",E713)),ISNUMBER(SEARCH("恶灵骑士",E713)),ISNUMBER(SEARCH("黑蝙蝠",E713)),ISNUMBER(SEARCH("血月使徒",E713))),"werewolves","villagers"))</f>
      </c>
      <c r="M713" s="0">
        <f>IF(F713="","",IF(ROUND(F713,2)=5,"win","loss"))</f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>
        <f>IF(D713="","",IFERROR(LOOKUP(2,1/(($D$2:$D$1001=D713)*($M$2:$M$1001="win")),$L$2:$L$1001),""))</f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 t="inlineStr">
        <is>
          <t xml:space="preserve"/>
        </is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>
        <f>IF(E714="","",IF(OR(ISNUMBER(SEARCH("狼",E714)),ISNUMBER(SEARCH("石像鬼",E714)),ISNUMBER(SEARCH("恶灵骑士",E714)),ISNUMBER(SEARCH("黑蝙蝠",E714)),ISNUMBER(SEARCH("血月使徒",E714))),"werewolves","villagers"))</f>
      </c>
      <c r="M714" s="0">
        <f>IF(F714="","",IF(ROUND(F714,2)=5,"win","loss"))</f>
      </c>
      <c r="N714" s="0" t="inlineStr">
        <is>
          <t xml:space="preserve"/>
        </is>
      </c>
      <c r="O714" s="0" t="inlineStr">
        <is>
          <t xml:space="preserve"/>
        </is>
      </c>
      <c r="P714" s="0" t="inlineStr">
        <is>
          <t xml:space="preserve"/>
        </is>
      </c>
      <c r="Q714" s="0" t="inlineStr">
        <is>
          <t xml:space="preserve"/>
        </is>
      </c>
      <c r="R714" s="0">
        <f>IF(D714="","",IFERROR(LOOKUP(2,1/(($D$2:$D$1001=D714)*($M$2:$M$1001="win")),$L$2:$L$1001),""))</f>
      </c>
      <c r="S714" s="0" t="inlineStr">
        <is>
          <t xml:space="preserve"/>
        </is>
      </c>
      <c r="T714" s="0" t="inlineStr">
        <is>
          <t xml:space="preserve"/>
        </is>
      </c>
      <c r="U714" s="0" t="inlineStr">
        <is>
          <t xml:space="preserve"/>
        </is>
      </c>
      <c r="V714" s="0" t="inlineStr">
        <is>
          <t xml:space="preserve"/>
        </is>
      </c>
      <c r="W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>
        <f>IF(E715="","",IF(OR(ISNUMBER(SEARCH("狼",E715)),ISNUMBER(SEARCH("石像鬼",E715)),ISNUMBER(SEARCH("恶灵骑士",E715)),ISNUMBER(SEARCH("黑蝙蝠",E715)),ISNUMBER(SEARCH("血月使徒",E715))),"werewolves","villagers"))</f>
      </c>
      <c r="M715" s="0">
        <f>IF(F715="","",IF(ROUND(F715,2)=5,"win","loss"))</f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>
        <f>IF(D715="","",IFERROR(LOOKUP(2,1/(($D$2:$D$1001=D715)*($M$2:$M$1001="win")),$L$2:$L$1001),""))</f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>
        <f>IF(E716="","",IF(OR(ISNUMBER(SEARCH("狼",E716)),ISNUMBER(SEARCH("石像鬼",E716)),ISNUMBER(SEARCH("恶灵骑士",E716)),ISNUMBER(SEARCH("黑蝙蝠",E716)),ISNUMBER(SEARCH("血月使徒",E716))),"werewolves","villagers"))</f>
      </c>
      <c r="M716" s="0">
        <f>IF(F716="","",IF(ROUND(F716,2)=5,"win","loss"))</f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>
        <f>IF(D716="","",IFERROR(LOOKUP(2,1/(($D$2:$D$1001=D716)*($M$2:$M$1001="win")),$L$2:$L$1001),""))</f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>
        <f>IF(E717="","",IF(OR(ISNUMBER(SEARCH("狼",E717)),ISNUMBER(SEARCH("石像鬼",E717)),ISNUMBER(SEARCH("恶灵骑士",E717)),ISNUMBER(SEARCH("黑蝙蝠",E717)),ISNUMBER(SEARCH("血月使徒",E717))),"werewolves","villagers"))</f>
      </c>
      <c r="M717" s="0">
        <f>IF(F717="","",IF(ROUND(F717,2)=5,"win","loss"))</f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>
        <f>IF(D717="","",IFERROR(LOOKUP(2,1/(($D$2:$D$1001=D717)*($M$2:$M$1001="win")),$L$2:$L$1001),""))</f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>
        <f>IF(E718="","",IF(OR(ISNUMBER(SEARCH("狼",E718)),ISNUMBER(SEARCH("石像鬼",E718)),ISNUMBER(SEARCH("恶灵骑士",E718)),ISNUMBER(SEARCH("黑蝙蝠",E718)),ISNUMBER(SEARCH("血月使徒",E718))),"werewolves","villagers"))</f>
      </c>
      <c r="M718" s="0">
        <f>IF(F718="","",IF(ROUND(F718,2)=5,"win","loss"))</f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>
        <f>IF(D718="","",IFERROR(LOOKUP(2,1/(($D$2:$D$1001=D718)*($M$2:$M$1001="win")),$L$2:$L$1001),""))</f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>
        <f>IF(E719="","",IF(OR(ISNUMBER(SEARCH("狼",E719)),ISNUMBER(SEARCH("石像鬼",E719)),ISNUMBER(SEARCH("恶灵骑士",E719)),ISNUMBER(SEARCH("黑蝙蝠",E719)),ISNUMBER(SEARCH("血月使徒",E719))),"werewolves","villagers"))</f>
      </c>
      <c r="M719" s="0">
        <f>IF(F719="","",IF(ROUND(F719,2)=5,"win","loss"))</f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>
        <f>IF(D719="","",IFERROR(LOOKUP(2,1/(($D$2:$D$1001=D719)*($M$2:$M$1001="win")),$L$2:$L$1001),""))</f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 t="inlineStr">
        <is>
          <t xml:space="preserve"/>
        </is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>
        <f>IF(E720="","",IF(OR(ISNUMBER(SEARCH("狼",E720)),ISNUMBER(SEARCH("石像鬼",E720)),ISNUMBER(SEARCH("恶灵骑士",E720)),ISNUMBER(SEARCH("黑蝙蝠",E720)),ISNUMBER(SEARCH("血月使徒",E720))),"werewolves","villagers"))</f>
      </c>
      <c r="M720" s="0">
        <f>IF(F720="","",IF(ROUND(F720,2)=5,"win","loss"))</f>
      </c>
      <c r="N720" s="0" t="inlineStr">
        <is>
          <t xml:space="preserve"/>
        </is>
      </c>
      <c r="O720" s="0" t="inlineStr">
        <is>
          <t xml:space="preserve"/>
        </is>
      </c>
      <c r="P720" s="0" t="inlineStr">
        <is>
          <t xml:space="preserve"/>
        </is>
      </c>
      <c r="Q720" s="0" t="inlineStr">
        <is>
          <t xml:space="preserve"/>
        </is>
      </c>
      <c r="R720" s="0">
        <f>IF(D720="","",IFERROR(LOOKUP(2,1/(($D$2:$D$1001=D720)*($M$2:$M$1001="win")),$L$2:$L$1001),""))</f>
      </c>
      <c r="S720" s="0" t="inlineStr">
        <is>
          <t xml:space="preserve"/>
        </is>
      </c>
      <c r="T720" s="0" t="inlineStr">
        <is>
          <t xml:space="preserve"/>
        </is>
      </c>
      <c r="U720" s="0" t="inlineStr">
        <is>
          <t xml:space="preserve"/>
        </is>
      </c>
      <c r="V720" s="0" t="inlineStr">
        <is>
          <t xml:space="preserve"/>
        </is>
      </c>
      <c r="W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>
        <f>IF(E721="","",IF(OR(ISNUMBER(SEARCH("狼",E721)),ISNUMBER(SEARCH("石像鬼",E721)),ISNUMBER(SEARCH("恶灵骑士",E721)),ISNUMBER(SEARCH("黑蝙蝠",E721)),ISNUMBER(SEARCH("血月使徒",E721))),"werewolves","villagers"))</f>
      </c>
      <c r="M721" s="0">
        <f>IF(F721="","",IF(ROUND(F721,2)=5,"win","loss"))</f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>
        <f>IF(D721="","",IFERROR(LOOKUP(2,1/(($D$2:$D$1001=D721)*($M$2:$M$1001="win")),$L$2:$L$1001),""))</f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>
        <f>IF(E722="","",IF(OR(ISNUMBER(SEARCH("狼",E722)),ISNUMBER(SEARCH("石像鬼",E722)),ISNUMBER(SEARCH("恶灵骑士",E722)),ISNUMBER(SEARCH("黑蝙蝠",E722)),ISNUMBER(SEARCH("血月使徒",E722))),"werewolves","villagers"))</f>
      </c>
      <c r="M722" s="0">
        <f>IF(F722="","",IF(ROUND(F722,2)=5,"win","loss"))</f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>
        <f>IF(D722="","",IFERROR(LOOKUP(2,1/(($D$2:$D$1001=D722)*($M$2:$M$1001="win")),$L$2:$L$1001),""))</f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>
        <f>IF(E723="","",IF(OR(ISNUMBER(SEARCH("狼",E723)),ISNUMBER(SEARCH("石像鬼",E723)),ISNUMBER(SEARCH("恶灵骑士",E723)),ISNUMBER(SEARCH("黑蝙蝠",E723)),ISNUMBER(SEARCH("血月使徒",E723))),"werewolves","villagers"))</f>
      </c>
      <c r="M723" s="0">
        <f>IF(F723="","",IF(ROUND(F723,2)=5,"win","loss"))</f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>
        <f>IF(D723="","",IFERROR(LOOKUP(2,1/(($D$2:$D$1001=D723)*($M$2:$M$1001="win")),$L$2:$L$1001),""))</f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 t="inlineStr">
        <is>
          <t xml:space="preserve"/>
        </is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>
        <f>IF(E724="","",IF(OR(ISNUMBER(SEARCH("狼",E724)),ISNUMBER(SEARCH("石像鬼",E724)),ISNUMBER(SEARCH("恶灵骑士",E724)),ISNUMBER(SEARCH("黑蝙蝠",E724)),ISNUMBER(SEARCH("血月使徒",E724))),"werewolves","villagers"))</f>
      </c>
      <c r="M724" s="0">
        <f>IF(F724="","",IF(ROUND(F724,2)=5,"win","loss"))</f>
      </c>
      <c r="N724" s="0" t="inlineStr">
        <is>
          <t xml:space="preserve"/>
        </is>
      </c>
      <c r="O724" s="0" t="inlineStr">
        <is>
          <t xml:space="preserve"/>
        </is>
      </c>
      <c r="P724" s="0" t="inlineStr">
        <is>
          <t xml:space="preserve"/>
        </is>
      </c>
      <c r="Q724" s="0" t="inlineStr">
        <is>
          <t xml:space="preserve"/>
        </is>
      </c>
      <c r="R724" s="0">
        <f>IF(D724="","",IFERROR(LOOKUP(2,1/(($D$2:$D$1001=D724)*($M$2:$M$1001="win")),$L$2:$L$1001),""))</f>
      </c>
      <c r="S724" s="0" t="inlineStr">
        <is>
          <t xml:space="preserve"/>
        </is>
      </c>
      <c r="T724" s="0" t="inlineStr">
        <is>
          <t xml:space="preserve"/>
        </is>
      </c>
      <c r="U724" s="0" t="inlineStr">
        <is>
          <t xml:space="preserve"/>
        </is>
      </c>
      <c r="V724" s="0" t="inlineStr">
        <is>
          <t xml:space="preserve"/>
        </is>
      </c>
      <c r="W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>
        <f>IF(E725="","",IF(OR(ISNUMBER(SEARCH("狼",E725)),ISNUMBER(SEARCH("石像鬼",E725)),ISNUMBER(SEARCH("恶灵骑士",E725)),ISNUMBER(SEARCH("黑蝙蝠",E725)),ISNUMBER(SEARCH("血月使徒",E725))),"werewolves","villagers"))</f>
      </c>
      <c r="M725" s="0">
        <f>IF(F725="","",IF(ROUND(F725,2)=5,"win","loss"))</f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>
        <f>IF(D725="","",IFERROR(LOOKUP(2,1/(($D$2:$D$1001=D725)*($M$2:$M$1001="win")),$L$2:$L$1001),""))</f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>
        <f>IF(E726="","",IF(OR(ISNUMBER(SEARCH("狼",E726)),ISNUMBER(SEARCH("石像鬼",E726)),ISNUMBER(SEARCH("恶灵骑士",E726)),ISNUMBER(SEARCH("黑蝙蝠",E726)),ISNUMBER(SEARCH("血月使徒",E726))),"werewolves","villagers"))</f>
      </c>
      <c r="M726" s="0">
        <f>IF(F726="","",IF(ROUND(F726,2)=5,"win","loss"))</f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>
        <f>IF(D726="","",IFERROR(LOOKUP(2,1/(($D$2:$D$1001=D726)*($M$2:$M$1001="win")),$L$2:$L$1001),""))</f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>
        <f>IF(E727="","",IF(OR(ISNUMBER(SEARCH("狼",E727)),ISNUMBER(SEARCH("石像鬼",E727)),ISNUMBER(SEARCH("恶灵骑士",E727)),ISNUMBER(SEARCH("黑蝙蝠",E727)),ISNUMBER(SEARCH("血月使徒",E727))),"werewolves","villagers"))</f>
      </c>
      <c r="M727" s="0">
        <f>IF(F727="","",IF(ROUND(F727,2)=5,"win","loss"))</f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>
        <f>IF(D727="","",IFERROR(LOOKUP(2,1/(($D$2:$D$1001=D727)*($M$2:$M$1001="win")),$L$2:$L$1001),""))</f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>
        <f>IF(E728="","",IF(OR(ISNUMBER(SEARCH("狼",E728)),ISNUMBER(SEARCH("石像鬼",E728)),ISNUMBER(SEARCH("恶灵骑士",E728)),ISNUMBER(SEARCH("黑蝙蝠",E728)),ISNUMBER(SEARCH("血月使徒",E728))),"werewolves","villagers"))</f>
      </c>
      <c r="M728" s="0">
        <f>IF(F728="","",IF(ROUND(F728,2)=5,"win","loss"))</f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>
        <f>IF(D728="","",IFERROR(LOOKUP(2,1/(($D$2:$D$1001=D728)*($M$2:$M$1001="win")),$L$2:$L$1001),""))</f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 t="inlineStr">
        <is>
          <t xml:space="preserve"/>
        </is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>
        <f>IF(E729="","",IF(OR(ISNUMBER(SEARCH("狼",E729)),ISNUMBER(SEARCH("石像鬼",E729)),ISNUMBER(SEARCH("恶灵骑士",E729)),ISNUMBER(SEARCH("黑蝙蝠",E729)),ISNUMBER(SEARCH("血月使徒",E729))),"werewolves","villagers"))</f>
      </c>
      <c r="M729" s="0">
        <f>IF(F729="","",IF(ROUND(F729,2)=5,"win","loss"))</f>
      </c>
      <c r="N729" s="0" t="inlineStr">
        <is>
          <t xml:space="preserve"/>
        </is>
      </c>
      <c r="O729" s="0" t="inlineStr">
        <is>
          <t xml:space="preserve"/>
        </is>
      </c>
      <c r="P729" s="0" t="inlineStr">
        <is>
          <t xml:space="preserve"/>
        </is>
      </c>
      <c r="Q729" s="0" t="inlineStr">
        <is>
          <t xml:space="preserve"/>
        </is>
      </c>
      <c r="R729" s="0">
        <f>IF(D729="","",IFERROR(LOOKUP(2,1/(($D$2:$D$1001=D729)*($M$2:$M$1001="win")),$L$2:$L$1001),""))</f>
      </c>
      <c r="S729" s="0" t="inlineStr">
        <is>
          <t xml:space="preserve"/>
        </is>
      </c>
      <c r="T729" s="0" t="inlineStr">
        <is>
          <t xml:space="preserve"/>
        </is>
      </c>
      <c r="U729" s="0" t="inlineStr">
        <is>
          <t xml:space="preserve"/>
        </is>
      </c>
      <c r="V729" s="0" t="inlineStr">
        <is>
          <t xml:space="preserve"/>
        </is>
      </c>
      <c r="W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>
        <f>IF(E730="","",IF(OR(ISNUMBER(SEARCH("狼",E730)),ISNUMBER(SEARCH("石像鬼",E730)),ISNUMBER(SEARCH("恶灵骑士",E730)),ISNUMBER(SEARCH("黑蝙蝠",E730)),ISNUMBER(SEARCH("血月使徒",E730))),"werewolves","villagers"))</f>
      </c>
      <c r="M730" s="0">
        <f>IF(F730="","",IF(ROUND(F730,2)=5,"win","loss"))</f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>
        <f>IF(D730="","",IFERROR(LOOKUP(2,1/(($D$2:$D$1001=D730)*($M$2:$M$1001="win")),$L$2:$L$1001),""))</f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 t="inlineStr">
        <is>
          <t xml:space="preserve"/>
        </is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>
        <f>IF(E731="","",IF(OR(ISNUMBER(SEARCH("狼",E731)),ISNUMBER(SEARCH("石像鬼",E731)),ISNUMBER(SEARCH("恶灵骑士",E731)),ISNUMBER(SEARCH("黑蝙蝠",E731)),ISNUMBER(SEARCH("血月使徒",E731))),"werewolves","villagers"))</f>
      </c>
      <c r="M731" s="0">
        <f>IF(F731="","",IF(ROUND(F731,2)=5,"win","loss"))</f>
      </c>
      <c r="N731" s="0" t="inlineStr">
        <is>
          <t xml:space="preserve"/>
        </is>
      </c>
      <c r="O731" s="0" t="inlineStr">
        <is>
          <t xml:space="preserve"/>
        </is>
      </c>
      <c r="P731" s="0" t="inlineStr">
        <is>
          <t xml:space="preserve"/>
        </is>
      </c>
      <c r="Q731" s="0" t="inlineStr">
        <is>
          <t xml:space="preserve"/>
        </is>
      </c>
      <c r="R731" s="0">
        <f>IF(D731="","",IFERROR(LOOKUP(2,1/(($D$2:$D$1001=D731)*($M$2:$M$1001="win")),$L$2:$L$1001),""))</f>
      </c>
      <c r="S731" s="0" t="inlineStr">
        <is>
          <t xml:space="preserve"/>
        </is>
      </c>
      <c r="T731" s="0" t="inlineStr">
        <is>
          <t xml:space="preserve"/>
        </is>
      </c>
      <c r="U731" s="0" t="inlineStr">
        <is>
          <t xml:space="preserve"/>
        </is>
      </c>
      <c r="V731" s="0" t="inlineStr">
        <is>
          <t xml:space="preserve"/>
        </is>
      </c>
      <c r="W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 t="inlineStr">
        <is>
          <t xml:space="preserve"/>
        </is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>
        <f>IF(E732="","",IF(OR(ISNUMBER(SEARCH("狼",E732)),ISNUMBER(SEARCH("石像鬼",E732)),ISNUMBER(SEARCH("恶灵骑士",E732)),ISNUMBER(SEARCH("黑蝙蝠",E732)),ISNUMBER(SEARCH("血月使徒",E732))),"werewolves","villagers"))</f>
      </c>
      <c r="M732" s="0">
        <f>IF(F732="","",IF(ROUND(F732,2)=5,"win","loss"))</f>
      </c>
      <c r="N732" s="0" t="inlineStr">
        <is>
          <t xml:space="preserve"/>
        </is>
      </c>
      <c r="O732" s="0" t="inlineStr">
        <is>
          <t xml:space="preserve"/>
        </is>
      </c>
      <c r="P732" s="0" t="inlineStr">
        <is>
          <t xml:space="preserve"/>
        </is>
      </c>
      <c r="Q732" s="0" t="inlineStr">
        <is>
          <t xml:space="preserve"/>
        </is>
      </c>
      <c r="R732" s="0">
        <f>IF(D732="","",IFERROR(LOOKUP(2,1/(($D$2:$D$1001=D732)*($M$2:$M$1001="win")),$L$2:$L$1001),""))</f>
      </c>
      <c r="S732" s="0" t="inlineStr">
        <is>
          <t xml:space="preserve"/>
        </is>
      </c>
      <c r="T732" s="0" t="inlineStr">
        <is>
          <t xml:space="preserve"/>
        </is>
      </c>
      <c r="U732" s="0" t="inlineStr">
        <is>
          <t xml:space="preserve"/>
        </is>
      </c>
      <c r="V732" s="0" t="inlineStr">
        <is>
          <t xml:space="preserve"/>
        </is>
      </c>
      <c r="W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 t="inlineStr">
        <is>
          <t xml:space="preserve"/>
        </is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>
        <f>IF(E733="","",IF(OR(ISNUMBER(SEARCH("狼",E733)),ISNUMBER(SEARCH("石像鬼",E733)),ISNUMBER(SEARCH("恶灵骑士",E733)),ISNUMBER(SEARCH("黑蝙蝠",E733)),ISNUMBER(SEARCH("血月使徒",E733))),"werewolves","villagers"))</f>
      </c>
      <c r="M733" s="0">
        <f>IF(F733="","",IF(ROUND(F733,2)=5,"win","loss"))</f>
      </c>
      <c r="N733" s="0" t="inlineStr">
        <is>
          <t xml:space="preserve"/>
        </is>
      </c>
      <c r="O733" s="0" t="inlineStr">
        <is>
          <t xml:space="preserve"/>
        </is>
      </c>
      <c r="P733" s="0" t="inlineStr">
        <is>
          <t xml:space="preserve"/>
        </is>
      </c>
      <c r="Q733" s="0" t="inlineStr">
        <is>
          <t xml:space="preserve"/>
        </is>
      </c>
      <c r="R733" s="0">
        <f>IF(D733="","",IFERROR(LOOKUP(2,1/(($D$2:$D$1001=D733)*($M$2:$M$1001="win")),$L$2:$L$1001),""))</f>
      </c>
      <c r="S733" s="0" t="inlineStr">
        <is>
          <t xml:space="preserve"/>
        </is>
      </c>
      <c r="T733" s="0" t="inlineStr">
        <is>
          <t xml:space="preserve"/>
        </is>
      </c>
      <c r="U733" s="0" t="inlineStr">
        <is>
          <t xml:space="preserve"/>
        </is>
      </c>
      <c r="V733" s="0" t="inlineStr">
        <is>
          <t xml:space="preserve"/>
        </is>
      </c>
      <c r="W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>
        <f>IF(E734="","",IF(OR(ISNUMBER(SEARCH("狼",E734)),ISNUMBER(SEARCH("石像鬼",E734)),ISNUMBER(SEARCH("恶灵骑士",E734)),ISNUMBER(SEARCH("黑蝙蝠",E734)),ISNUMBER(SEARCH("血月使徒",E734))),"werewolves","villagers"))</f>
      </c>
      <c r="M734" s="0">
        <f>IF(F734="","",IF(ROUND(F734,2)=5,"win","loss"))</f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>
        <f>IF(D734="","",IFERROR(LOOKUP(2,1/(($D$2:$D$1001=D734)*($M$2:$M$1001="win")),$L$2:$L$1001),""))</f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 t="inlineStr">
        <is>
          <t xml:space="preserve"/>
        </is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>
        <f>IF(E735="","",IF(OR(ISNUMBER(SEARCH("狼",E735)),ISNUMBER(SEARCH("石像鬼",E735)),ISNUMBER(SEARCH("恶灵骑士",E735)),ISNUMBER(SEARCH("黑蝙蝠",E735)),ISNUMBER(SEARCH("血月使徒",E735))),"werewolves","villagers"))</f>
      </c>
      <c r="M735" s="0">
        <f>IF(F735="","",IF(ROUND(F735,2)=5,"win","loss"))</f>
      </c>
      <c r="N735" s="0" t="inlineStr">
        <is>
          <t xml:space="preserve"/>
        </is>
      </c>
      <c r="O735" s="0" t="inlineStr">
        <is>
          <t xml:space="preserve"/>
        </is>
      </c>
      <c r="P735" s="0" t="inlineStr">
        <is>
          <t xml:space="preserve"/>
        </is>
      </c>
      <c r="Q735" s="0" t="inlineStr">
        <is>
          <t xml:space="preserve"/>
        </is>
      </c>
      <c r="R735" s="0">
        <f>IF(D735="","",IFERROR(LOOKUP(2,1/(($D$2:$D$1001=D735)*($M$2:$M$1001="win")),$L$2:$L$1001),""))</f>
      </c>
      <c r="S735" s="0" t="inlineStr">
        <is>
          <t xml:space="preserve"/>
        </is>
      </c>
      <c r="T735" s="0" t="inlineStr">
        <is>
          <t xml:space="preserve"/>
        </is>
      </c>
      <c r="U735" s="0" t="inlineStr">
        <is>
          <t xml:space="preserve"/>
        </is>
      </c>
      <c r="V735" s="0" t="inlineStr">
        <is>
          <t xml:space="preserve"/>
        </is>
      </c>
      <c r="W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>
        <f>IF(E736="","",IF(OR(ISNUMBER(SEARCH("狼",E736)),ISNUMBER(SEARCH("石像鬼",E736)),ISNUMBER(SEARCH("恶灵骑士",E736)),ISNUMBER(SEARCH("黑蝙蝠",E736)),ISNUMBER(SEARCH("血月使徒",E736))),"werewolves","villagers"))</f>
      </c>
      <c r="M736" s="0">
        <f>IF(F736="","",IF(ROUND(F736,2)=5,"win","loss"))</f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>
        <f>IF(D736="","",IFERROR(LOOKUP(2,1/(($D$2:$D$1001=D736)*($M$2:$M$1001="win")),$L$2:$L$1001),""))</f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>
        <f>IF(E737="","",IF(OR(ISNUMBER(SEARCH("狼",E737)),ISNUMBER(SEARCH("石像鬼",E737)),ISNUMBER(SEARCH("恶灵骑士",E737)),ISNUMBER(SEARCH("黑蝙蝠",E737)),ISNUMBER(SEARCH("血月使徒",E737))),"werewolves","villagers"))</f>
      </c>
      <c r="M737" s="0">
        <f>IF(F737="","",IF(ROUND(F737,2)=5,"win","loss"))</f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>
        <f>IF(D737="","",IFERROR(LOOKUP(2,1/(($D$2:$D$1001=D737)*($M$2:$M$1001="win")),$L$2:$L$1001),""))</f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>
        <f>IF(E738="","",IF(OR(ISNUMBER(SEARCH("狼",E738)),ISNUMBER(SEARCH("石像鬼",E738)),ISNUMBER(SEARCH("恶灵骑士",E738)),ISNUMBER(SEARCH("黑蝙蝠",E738)),ISNUMBER(SEARCH("血月使徒",E738))),"werewolves","villagers"))</f>
      </c>
      <c r="M738" s="0">
        <f>IF(F738="","",IF(ROUND(F738,2)=5,"win","loss"))</f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>
        <f>IF(D738="","",IFERROR(LOOKUP(2,1/(($D$2:$D$1001=D738)*($M$2:$M$1001="win")),$L$2:$L$1001),""))</f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>
        <f>IF(E739="","",IF(OR(ISNUMBER(SEARCH("狼",E739)),ISNUMBER(SEARCH("石像鬼",E739)),ISNUMBER(SEARCH("恶灵骑士",E739)),ISNUMBER(SEARCH("黑蝙蝠",E739)),ISNUMBER(SEARCH("血月使徒",E739))),"werewolves","villagers"))</f>
      </c>
      <c r="M739" s="0">
        <f>IF(F739="","",IF(ROUND(F739,2)=5,"win","loss"))</f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>
        <f>IF(D739="","",IFERROR(LOOKUP(2,1/(($D$2:$D$1001=D739)*($M$2:$M$1001="win")),$L$2:$L$1001),""))</f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>
        <f>IF(E740="","",IF(OR(ISNUMBER(SEARCH("狼",E740)),ISNUMBER(SEARCH("石像鬼",E740)),ISNUMBER(SEARCH("恶灵骑士",E740)),ISNUMBER(SEARCH("黑蝙蝠",E740)),ISNUMBER(SEARCH("血月使徒",E740))),"werewolves","villagers"))</f>
      </c>
      <c r="M740" s="0">
        <f>IF(F740="","",IF(ROUND(F740,2)=5,"win","loss"))</f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>
        <f>IF(D740="","",IFERROR(LOOKUP(2,1/(($D$2:$D$1001=D740)*($M$2:$M$1001="win")),$L$2:$L$1001),""))</f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>
        <f>IF(E741="","",IF(OR(ISNUMBER(SEARCH("狼",E741)),ISNUMBER(SEARCH("石像鬼",E741)),ISNUMBER(SEARCH("恶灵骑士",E741)),ISNUMBER(SEARCH("黑蝙蝠",E741)),ISNUMBER(SEARCH("血月使徒",E741))),"werewolves","villagers"))</f>
      </c>
      <c r="M741" s="0">
        <f>IF(F741="","",IF(ROUND(F741,2)=5,"win","loss"))</f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>
        <f>IF(D741="","",IFERROR(LOOKUP(2,1/(($D$2:$D$1001=D741)*($M$2:$M$1001="win")),$L$2:$L$1001),""))</f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>
        <f>IF(E742="","",IF(OR(ISNUMBER(SEARCH("狼",E742)),ISNUMBER(SEARCH("石像鬼",E742)),ISNUMBER(SEARCH("恶灵骑士",E742)),ISNUMBER(SEARCH("黑蝙蝠",E742)),ISNUMBER(SEARCH("血月使徒",E742))),"werewolves","villagers"))</f>
      </c>
      <c r="M742" s="0">
        <f>IF(F742="","",IF(ROUND(F742,2)=5,"win","loss"))</f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>
        <f>IF(D742="","",IFERROR(LOOKUP(2,1/(($D$2:$D$1001=D742)*($M$2:$M$1001="win")),$L$2:$L$1001),""))</f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 t="inlineStr">
        <is>
          <t xml:space="preserve"/>
        </is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>
        <f>IF(E743="","",IF(OR(ISNUMBER(SEARCH("狼",E743)),ISNUMBER(SEARCH("石像鬼",E743)),ISNUMBER(SEARCH("恶灵骑士",E743)),ISNUMBER(SEARCH("黑蝙蝠",E743)),ISNUMBER(SEARCH("血月使徒",E743))),"werewolves","villagers"))</f>
      </c>
      <c r="M743" s="0">
        <f>IF(F743="","",IF(ROUND(F743,2)=5,"win","loss"))</f>
      </c>
      <c r="N743" s="0" t="inlineStr">
        <is>
          <t xml:space="preserve"/>
        </is>
      </c>
      <c r="O743" s="0" t="inlineStr">
        <is>
          <t xml:space="preserve"/>
        </is>
      </c>
      <c r="P743" s="0" t="inlineStr">
        <is>
          <t xml:space="preserve"/>
        </is>
      </c>
      <c r="Q743" s="0" t="inlineStr">
        <is>
          <t xml:space="preserve"/>
        </is>
      </c>
      <c r="R743" s="0">
        <f>IF(D743="","",IFERROR(LOOKUP(2,1/(($D$2:$D$1001=D743)*($M$2:$M$1001="win")),$L$2:$L$1001),""))</f>
      </c>
      <c r="S743" s="0" t="inlineStr">
        <is>
          <t xml:space="preserve"/>
        </is>
      </c>
      <c r="T743" s="0" t="inlineStr">
        <is>
          <t xml:space="preserve"/>
        </is>
      </c>
      <c r="U743" s="0" t="inlineStr">
        <is>
          <t xml:space="preserve"/>
        </is>
      </c>
      <c r="V743" s="0" t="inlineStr">
        <is>
          <t xml:space="preserve"/>
        </is>
      </c>
      <c r="W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>
        <f>IF(E744="","",IF(OR(ISNUMBER(SEARCH("狼",E744)),ISNUMBER(SEARCH("石像鬼",E744)),ISNUMBER(SEARCH("恶灵骑士",E744)),ISNUMBER(SEARCH("黑蝙蝠",E744)),ISNUMBER(SEARCH("血月使徒",E744))),"werewolves","villagers"))</f>
      </c>
      <c r="M744" s="0">
        <f>IF(F744="","",IF(ROUND(F744,2)=5,"win","loss"))</f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>
        <f>IF(D744="","",IFERROR(LOOKUP(2,1/(($D$2:$D$1001=D744)*($M$2:$M$1001="win")),$L$2:$L$1001),""))</f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>
        <f>IF(E745="","",IF(OR(ISNUMBER(SEARCH("狼",E745)),ISNUMBER(SEARCH("石像鬼",E745)),ISNUMBER(SEARCH("恶灵骑士",E745)),ISNUMBER(SEARCH("黑蝙蝠",E745)),ISNUMBER(SEARCH("血月使徒",E745))),"werewolves","villagers"))</f>
      </c>
      <c r="M745" s="0">
        <f>IF(F745="","",IF(ROUND(F745,2)=5,"win","loss"))</f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>
        <f>IF(D745="","",IFERROR(LOOKUP(2,1/(($D$2:$D$1001=D745)*($M$2:$M$1001="win")),$L$2:$L$1001),""))</f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 t="inlineStr">
        <is>
          <t xml:space="preserve"/>
        </is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>
        <f>IF(E746="","",IF(OR(ISNUMBER(SEARCH("狼",E746)),ISNUMBER(SEARCH("石像鬼",E746)),ISNUMBER(SEARCH("恶灵骑士",E746)),ISNUMBER(SEARCH("黑蝙蝠",E746)),ISNUMBER(SEARCH("血月使徒",E746))),"werewolves","villagers"))</f>
      </c>
      <c r="M746" s="0">
        <f>IF(F746="","",IF(ROUND(F746,2)=5,"win","loss"))</f>
      </c>
      <c r="N746" s="0" t="inlineStr">
        <is>
          <t xml:space="preserve"/>
        </is>
      </c>
      <c r="O746" s="0" t="inlineStr">
        <is>
          <t xml:space="preserve"/>
        </is>
      </c>
      <c r="P746" s="0" t="inlineStr">
        <is>
          <t xml:space="preserve"/>
        </is>
      </c>
      <c r="Q746" s="0" t="inlineStr">
        <is>
          <t xml:space="preserve"/>
        </is>
      </c>
      <c r="R746" s="0">
        <f>IF(D746="","",IFERROR(LOOKUP(2,1/(($D$2:$D$1001=D746)*($M$2:$M$1001="win")),$L$2:$L$1001),""))</f>
      </c>
      <c r="S746" s="0" t="inlineStr">
        <is>
          <t xml:space="preserve"/>
        </is>
      </c>
      <c r="T746" s="0" t="inlineStr">
        <is>
          <t xml:space="preserve"/>
        </is>
      </c>
      <c r="U746" s="0" t="inlineStr">
        <is>
          <t xml:space="preserve"/>
        </is>
      </c>
      <c r="V746" s="0" t="inlineStr">
        <is>
          <t xml:space="preserve"/>
        </is>
      </c>
      <c r="W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>
        <f>IF(E747="","",IF(OR(ISNUMBER(SEARCH("狼",E747)),ISNUMBER(SEARCH("石像鬼",E747)),ISNUMBER(SEARCH("恶灵骑士",E747)),ISNUMBER(SEARCH("黑蝙蝠",E747)),ISNUMBER(SEARCH("血月使徒",E747))),"werewolves","villagers"))</f>
      </c>
      <c r="M747" s="0">
        <f>IF(F747="","",IF(ROUND(F747,2)=5,"win","loss"))</f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>
        <f>IF(D747="","",IFERROR(LOOKUP(2,1/(($D$2:$D$1001=D747)*($M$2:$M$1001="win")),$L$2:$L$1001),""))</f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 t="inlineStr">
        <is>
          <t xml:space="preserve"/>
        </is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>
        <f>IF(E748="","",IF(OR(ISNUMBER(SEARCH("狼",E748)),ISNUMBER(SEARCH("石像鬼",E748)),ISNUMBER(SEARCH("恶灵骑士",E748)),ISNUMBER(SEARCH("黑蝙蝠",E748)),ISNUMBER(SEARCH("血月使徒",E748))),"werewolves","villagers"))</f>
      </c>
      <c r="M748" s="0">
        <f>IF(F748="","",IF(ROUND(F748,2)=5,"win","loss"))</f>
      </c>
      <c r="N748" s="0" t="inlineStr">
        <is>
          <t xml:space="preserve"/>
        </is>
      </c>
      <c r="O748" s="0" t="inlineStr">
        <is>
          <t xml:space="preserve"/>
        </is>
      </c>
      <c r="P748" s="0" t="inlineStr">
        <is>
          <t xml:space="preserve"/>
        </is>
      </c>
      <c r="Q748" s="0" t="inlineStr">
        <is>
          <t xml:space="preserve"/>
        </is>
      </c>
      <c r="R748" s="0">
        <f>IF(D748="","",IFERROR(LOOKUP(2,1/(($D$2:$D$1001=D748)*($M$2:$M$1001="win")),$L$2:$L$1001),""))</f>
      </c>
      <c r="S748" s="0" t="inlineStr">
        <is>
          <t xml:space="preserve"/>
        </is>
      </c>
      <c r="T748" s="0" t="inlineStr">
        <is>
          <t xml:space="preserve"/>
        </is>
      </c>
      <c r="U748" s="0" t="inlineStr">
        <is>
          <t xml:space="preserve"/>
        </is>
      </c>
      <c r="V748" s="0" t="inlineStr">
        <is>
          <t xml:space="preserve"/>
        </is>
      </c>
      <c r="W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>
        <f>IF(E749="","",IF(OR(ISNUMBER(SEARCH("狼",E749)),ISNUMBER(SEARCH("石像鬼",E749)),ISNUMBER(SEARCH("恶灵骑士",E749)),ISNUMBER(SEARCH("黑蝙蝠",E749)),ISNUMBER(SEARCH("血月使徒",E749))),"werewolves","villagers"))</f>
      </c>
      <c r="M749" s="0">
        <f>IF(F749="","",IF(ROUND(F749,2)=5,"win","loss"))</f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>
        <f>IF(D749="","",IFERROR(LOOKUP(2,1/(($D$2:$D$1001=D749)*($M$2:$M$1001="win")),$L$2:$L$1001),""))</f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>
        <f>IF(E750="","",IF(OR(ISNUMBER(SEARCH("狼",E750)),ISNUMBER(SEARCH("石像鬼",E750)),ISNUMBER(SEARCH("恶灵骑士",E750)),ISNUMBER(SEARCH("黑蝙蝠",E750)),ISNUMBER(SEARCH("血月使徒",E750))),"werewolves","villagers"))</f>
      </c>
      <c r="M750" s="0">
        <f>IF(F750="","",IF(ROUND(F750,2)=5,"win","loss"))</f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>
        <f>IF(D750="","",IFERROR(LOOKUP(2,1/(($D$2:$D$1001=D750)*($M$2:$M$1001="win")),$L$2:$L$1001),""))</f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 t="inlineStr">
        <is>
          <t xml:space="preserve"/>
        </is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>
        <f>IF(E751="","",IF(OR(ISNUMBER(SEARCH("狼",E751)),ISNUMBER(SEARCH("石像鬼",E751)),ISNUMBER(SEARCH("恶灵骑士",E751)),ISNUMBER(SEARCH("黑蝙蝠",E751)),ISNUMBER(SEARCH("血月使徒",E751))),"werewolves","villagers"))</f>
      </c>
      <c r="M751" s="0">
        <f>IF(F751="","",IF(ROUND(F751,2)=5,"win","loss"))</f>
      </c>
      <c r="N751" s="0" t="inlineStr">
        <is>
          <t xml:space="preserve"/>
        </is>
      </c>
      <c r="O751" s="0" t="inlineStr">
        <is>
          <t xml:space="preserve"/>
        </is>
      </c>
      <c r="P751" s="0" t="inlineStr">
        <is>
          <t xml:space="preserve"/>
        </is>
      </c>
      <c r="Q751" s="0" t="inlineStr">
        <is>
          <t xml:space="preserve"/>
        </is>
      </c>
      <c r="R751" s="0">
        <f>IF(D751="","",IFERROR(LOOKUP(2,1/(($D$2:$D$1001=D751)*($M$2:$M$1001="win")),$L$2:$L$1001),""))</f>
      </c>
      <c r="S751" s="0" t="inlineStr">
        <is>
          <t xml:space="preserve"/>
        </is>
      </c>
      <c r="T751" s="0" t="inlineStr">
        <is>
          <t xml:space="preserve"/>
        </is>
      </c>
      <c r="U751" s="0" t="inlineStr">
        <is>
          <t xml:space="preserve"/>
        </is>
      </c>
      <c r="V751" s="0" t="inlineStr">
        <is>
          <t xml:space="preserve"/>
        </is>
      </c>
      <c r="W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>
        <f>IF(E752="","",IF(OR(ISNUMBER(SEARCH("狼",E752)),ISNUMBER(SEARCH("石像鬼",E752)),ISNUMBER(SEARCH("恶灵骑士",E752)),ISNUMBER(SEARCH("黑蝙蝠",E752)),ISNUMBER(SEARCH("血月使徒",E752))),"werewolves","villagers"))</f>
      </c>
      <c r="M752" s="0">
        <f>IF(F752="","",IF(ROUND(F752,2)=5,"win","loss"))</f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>
        <f>IF(D752="","",IFERROR(LOOKUP(2,1/(($D$2:$D$1001=D752)*($M$2:$M$1001="win")),$L$2:$L$1001),""))</f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>
        <f>IF(E753="","",IF(OR(ISNUMBER(SEARCH("狼",E753)),ISNUMBER(SEARCH("石像鬼",E753)),ISNUMBER(SEARCH("恶灵骑士",E753)),ISNUMBER(SEARCH("黑蝙蝠",E753)),ISNUMBER(SEARCH("血月使徒",E753))),"werewolves","villagers"))</f>
      </c>
      <c r="M753" s="0">
        <f>IF(F753="","",IF(ROUND(F753,2)=5,"win","loss"))</f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>
        <f>IF(D753="","",IFERROR(LOOKUP(2,1/(($D$2:$D$1001=D753)*($M$2:$M$1001="win")),$L$2:$L$1001),""))</f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 t="inlineStr">
        <is>
          <t xml:space="preserve"/>
        </is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>
        <f>IF(E754="","",IF(OR(ISNUMBER(SEARCH("狼",E754)),ISNUMBER(SEARCH("石像鬼",E754)),ISNUMBER(SEARCH("恶灵骑士",E754)),ISNUMBER(SEARCH("黑蝙蝠",E754)),ISNUMBER(SEARCH("血月使徒",E754))),"werewolves","villagers"))</f>
      </c>
      <c r="M754" s="0">
        <f>IF(F754="","",IF(ROUND(F754,2)=5,"win","loss"))</f>
      </c>
      <c r="N754" s="0" t="inlineStr">
        <is>
          <t xml:space="preserve"/>
        </is>
      </c>
      <c r="O754" s="0" t="inlineStr">
        <is>
          <t xml:space="preserve"/>
        </is>
      </c>
      <c r="P754" s="0" t="inlineStr">
        <is>
          <t xml:space="preserve"/>
        </is>
      </c>
      <c r="Q754" s="0" t="inlineStr">
        <is>
          <t xml:space="preserve"/>
        </is>
      </c>
      <c r="R754" s="0">
        <f>IF(D754="","",IFERROR(LOOKUP(2,1/(($D$2:$D$1001=D754)*($M$2:$M$1001="win")),$L$2:$L$1001),""))</f>
      </c>
      <c r="S754" s="0" t="inlineStr">
        <is>
          <t xml:space="preserve"/>
        </is>
      </c>
      <c r="T754" s="0" t="inlineStr">
        <is>
          <t xml:space="preserve"/>
        </is>
      </c>
      <c r="U754" s="0" t="inlineStr">
        <is>
          <t xml:space="preserve"/>
        </is>
      </c>
      <c r="V754" s="0" t="inlineStr">
        <is>
          <t xml:space="preserve"/>
        </is>
      </c>
      <c r="W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>
        <f>IF(E755="","",IF(OR(ISNUMBER(SEARCH("狼",E755)),ISNUMBER(SEARCH("石像鬼",E755)),ISNUMBER(SEARCH("恶灵骑士",E755)),ISNUMBER(SEARCH("黑蝙蝠",E755)),ISNUMBER(SEARCH("血月使徒",E755))),"werewolves","villagers"))</f>
      </c>
      <c r="M755" s="0">
        <f>IF(F755="","",IF(ROUND(F755,2)=5,"win","loss"))</f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>
        <f>IF(D755="","",IFERROR(LOOKUP(2,1/(($D$2:$D$1001=D755)*($M$2:$M$1001="win")),$L$2:$L$1001),""))</f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 t="inlineStr">
        <is>
          <t xml:space="preserve"/>
        </is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>
        <f>IF(E756="","",IF(OR(ISNUMBER(SEARCH("狼",E756)),ISNUMBER(SEARCH("石像鬼",E756)),ISNUMBER(SEARCH("恶灵骑士",E756)),ISNUMBER(SEARCH("黑蝙蝠",E756)),ISNUMBER(SEARCH("血月使徒",E756))),"werewolves","villagers"))</f>
      </c>
      <c r="M756" s="0">
        <f>IF(F756="","",IF(ROUND(F756,2)=5,"win","loss"))</f>
      </c>
      <c r="N756" s="0" t="inlineStr">
        <is>
          <t xml:space="preserve"/>
        </is>
      </c>
      <c r="O756" s="0" t="inlineStr">
        <is>
          <t xml:space="preserve"/>
        </is>
      </c>
      <c r="P756" s="0" t="inlineStr">
        <is>
          <t xml:space="preserve"/>
        </is>
      </c>
      <c r="Q756" s="0" t="inlineStr">
        <is>
          <t xml:space="preserve"/>
        </is>
      </c>
      <c r="R756" s="0">
        <f>IF(D756="","",IFERROR(LOOKUP(2,1/(($D$2:$D$1001=D756)*($M$2:$M$1001="win")),$L$2:$L$1001),""))</f>
      </c>
      <c r="S756" s="0" t="inlineStr">
        <is>
          <t xml:space="preserve"/>
        </is>
      </c>
      <c r="T756" s="0" t="inlineStr">
        <is>
          <t xml:space="preserve"/>
        </is>
      </c>
      <c r="U756" s="0" t="inlineStr">
        <is>
          <t xml:space="preserve"/>
        </is>
      </c>
      <c r="V756" s="0" t="inlineStr">
        <is>
          <t xml:space="preserve"/>
        </is>
      </c>
      <c r="W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 t="inlineStr">
        <is>
          <t xml:space="preserve"/>
        </is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>
        <f>IF(E757="","",IF(OR(ISNUMBER(SEARCH("狼",E757)),ISNUMBER(SEARCH("石像鬼",E757)),ISNUMBER(SEARCH("恶灵骑士",E757)),ISNUMBER(SEARCH("黑蝙蝠",E757)),ISNUMBER(SEARCH("血月使徒",E757))),"werewolves","villagers"))</f>
      </c>
      <c r="M757" s="0">
        <f>IF(F757="","",IF(ROUND(F757,2)=5,"win","loss"))</f>
      </c>
      <c r="N757" s="0" t="inlineStr">
        <is>
          <t xml:space="preserve"/>
        </is>
      </c>
      <c r="O757" s="0" t="inlineStr">
        <is>
          <t xml:space="preserve"/>
        </is>
      </c>
      <c r="P757" s="0" t="inlineStr">
        <is>
          <t xml:space="preserve"/>
        </is>
      </c>
      <c r="Q757" s="0" t="inlineStr">
        <is>
          <t xml:space="preserve"/>
        </is>
      </c>
      <c r="R757" s="0">
        <f>IF(D757="","",IFERROR(LOOKUP(2,1/(($D$2:$D$1001=D757)*($M$2:$M$1001="win")),$L$2:$L$1001),""))</f>
      </c>
      <c r="S757" s="0" t="inlineStr">
        <is>
          <t xml:space="preserve"/>
        </is>
      </c>
      <c r="T757" s="0" t="inlineStr">
        <is>
          <t xml:space="preserve"/>
        </is>
      </c>
      <c r="U757" s="0" t="inlineStr">
        <is>
          <t xml:space="preserve"/>
        </is>
      </c>
      <c r="V757" s="0" t="inlineStr">
        <is>
          <t xml:space="preserve"/>
        </is>
      </c>
      <c r="W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>
        <f>IF(E758="","",IF(OR(ISNUMBER(SEARCH("狼",E758)),ISNUMBER(SEARCH("石像鬼",E758)),ISNUMBER(SEARCH("恶灵骑士",E758)),ISNUMBER(SEARCH("黑蝙蝠",E758)),ISNUMBER(SEARCH("血月使徒",E758))),"werewolves","villagers"))</f>
      </c>
      <c r="M758" s="0">
        <f>IF(F758="","",IF(ROUND(F758,2)=5,"win","loss"))</f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>
        <f>IF(D758="","",IFERROR(LOOKUP(2,1/(($D$2:$D$1001=D758)*($M$2:$M$1001="win")),$L$2:$L$1001),""))</f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>
        <f>IF(E759="","",IF(OR(ISNUMBER(SEARCH("狼",E759)),ISNUMBER(SEARCH("石像鬼",E759)),ISNUMBER(SEARCH("恶灵骑士",E759)),ISNUMBER(SEARCH("黑蝙蝠",E759)),ISNUMBER(SEARCH("血月使徒",E759))),"werewolves","villagers"))</f>
      </c>
      <c r="M759" s="0">
        <f>IF(F759="","",IF(ROUND(F759,2)=5,"win","loss"))</f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>
        <f>IF(D759="","",IFERROR(LOOKUP(2,1/(($D$2:$D$1001=D759)*($M$2:$M$1001="win")),$L$2:$L$1001),""))</f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 t="inlineStr">
        <is>
          <t xml:space="preserve"/>
        </is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>
        <f>IF(E760="","",IF(OR(ISNUMBER(SEARCH("狼",E760)),ISNUMBER(SEARCH("石像鬼",E760)),ISNUMBER(SEARCH("恶灵骑士",E760)),ISNUMBER(SEARCH("黑蝙蝠",E760)),ISNUMBER(SEARCH("血月使徒",E760))),"werewolves","villagers"))</f>
      </c>
      <c r="M760" s="0">
        <f>IF(F760="","",IF(ROUND(F760,2)=5,"win","loss"))</f>
      </c>
      <c r="N760" s="0" t="inlineStr">
        <is>
          <t xml:space="preserve"/>
        </is>
      </c>
      <c r="O760" s="0" t="inlineStr">
        <is>
          <t xml:space="preserve"/>
        </is>
      </c>
      <c r="P760" s="0" t="inlineStr">
        <is>
          <t xml:space="preserve"/>
        </is>
      </c>
      <c r="Q760" s="0" t="inlineStr">
        <is>
          <t xml:space="preserve"/>
        </is>
      </c>
      <c r="R760" s="0">
        <f>IF(D760="","",IFERROR(LOOKUP(2,1/(($D$2:$D$1001=D760)*($M$2:$M$1001="win")),$L$2:$L$1001),""))</f>
      </c>
      <c r="S760" s="0" t="inlineStr">
        <is>
          <t xml:space="preserve"/>
        </is>
      </c>
      <c r="T760" s="0" t="inlineStr">
        <is>
          <t xml:space="preserve"/>
        </is>
      </c>
      <c r="U760" s="0" t="inlineStr">
        <is>
          <t xml:space="preserve"/>
        </is>
      </c>
      <c r="V760" s="0" t="inlineStr">
        <is>
          <t xml:space="preserve"/>
        </is>
      </c>
      <c r="W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 t="inlineStr">
        <is>
          <t xml:space="preserve"/>
        </is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>
        <f>IF(E761="","",IF(OR(ISNUMBER(SEARCH("狼",E761)),ISNUMBER(SEARCH("石像鬼",E761)),ISNUMBER(SEARCH("恶灵骑士",E761)),ISNUMBER(SEARCH("黑蝙蝠",E761)),ISNUMBER(SEARCH("血月使徒",E761))),"werewolves","villagers"))</f>
      </c>
      <c r="M761" s="0">
        <f>IF(F761="","",IF(ROUND(F761,2)=5,"win","loss"))</f>
      </c>
      <c r="N761" s="0" t="inlineStr">
        <is>
          <t xml:space="preserve"/>
        </is>
      </c>
      <c r="O761" s="0" t="inlineStr">
        <is>
          <t xml:space="preserve"/>
        </is>
      </c>
      <c r="P761" s="0" t="inlineStr">
        <is>
          <t xml:space="preserve"/>
        </is>
      </c>
      <c r="Q761" s="0" t="inlineStr">
        <is>
          <t xml:space="preserve"/>
        </is>
      </c>
      <c r="R761" s="0">
        <f>IF(D761="","",IFERROR(LOOKUP(2,1/(($D$2:$D$1001=D761)*($M$2:$M$1001="win")),$L$2:$L$1001),""))</f>
      </c>
      <c r="S761" s="0" t="inlineStr">
        <is>
          <t xml:space="preserve"/>
        </is>
      </c>
      <c r="T761" s="0" t="inlineStr">
        <is>
          <t xml:space="preserve"/>
        </is>
      </c>
      <c r="U761" s="0" t="inlineStr">
        <is>
          <t xml:space="preserve"/>
        </is>
      </c>
      <c r="V761" s="0" t="inlineStr">
        <is>
          <t xml:space="preserve"/>
        </is>
      </c>
      <c r="W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 t="inlineStr">
        <is>
          <t xml:space="preserve"/>
        </is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>
        <f>IF(E762="","",IF(OR(ISNUMBER(SEARCH("狼",E762)),ISNUMBER(SEARCH("石像鬼",E762)),ISNUMBER(SEARCH("恶灵骑士",E762)),ISNUMBER(SEARCH("黑蝙蝠",E762)),ISNUMBER(SEARCH("血月使徒",E762))),"werewolves","villagers"))</f>
      </c>
      <c r="M762" s="0">
        <f>IF(F762="","",IF(ROUND(F762,2)=5,"win","loss"))</f>
      </c>
      <c r="N762" s="0" t="inlineStr">
        <is>
          <t xml:space="preserve"/>
        </is>
      </c>
      <c r="O762" s="0" t="inlineStr">
        <is>
          <t xml:space="preserve"/>
        </is>
      </c>
      <c r="P762" s="0" t="inlineStr">
        <is>
          <t xml:space="preserve"/>
        </is>
      </c>
      <c r="Q762" s="0" t="inlineStr">
        <is>
          <t xml:space="preserve"/>
        </is>
      </c>
      <c r="R762" s="0">
        <f>IF(D762="","",IFERROR(LOOKUP(2,1/(($D$2:$D$1001=D762)*($M$2:$M$1001="win")),$L$2:$L$1001),""))</f>
      </c>
      <c r="S762" s="0" t="inlineStr">
        <is>
          <t xml:space="preserve"/>
        </is>
      </c>
      <c r="T762" s="0" t="inlineStr">
        <is>
          <t xml:space="preserve"/>
        </is>
      </c>
      <c r="U762" s="0" t="inlineStr">
        <is>
          <t xml:space="preserve"/>
        </is>
      </c>
      <c r="V762" s="0" t="inlineStr">
        <is>
          <t xml:space="preserve"/>
        </is>
      </c>
      <c r="W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>
        <f>IF(E763="","",IF(OR(ISNUMBER(SEARCH("狼",E763)),ISNUMBER(SEARCH("石像鬼",E763)),ISNUMBER(SEARCH("恶灵骑士",E763)),ISNUMBER(SEARCH("黑蝙蝠",E763)),ISNUMBER(SEARCH("血月使徒",E763))),"werewolves","villagers"))</f>
      </c>
      <c r="M763" s="0">
        <f>IF(F763="","",IF(ROUND(F763,2)=5,"win","loss"))</f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>
        <f>IF(D763="","",IFERROR(LOOKUP(2,1/(($D$2:$D$1001=D763)*($M$2:$M$1001="win")),$L$2:$L$1001),""))</f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 t="inlineStr">
        <is>
          <t xml:space="preserve"/>
        </is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>
        <f>IF(E764="","",IF(OR(ISNUMBER(SEARCH("狼",E764)),ISNUMBER(SEARCH("石像鬼",E764)),ISNUMBER(SEARCH("恶灵骑士",E764)),ISNUMBER(SEARCH("黑蝙蝠",E764)),ISNUMBER(SEARCH("血月使徒",E764))),"werewolves","villagers"))</f>
      </c>
      <c r="M764" s="0">
        <f>IF(F764="","",IF(ROUND(F764,2)=5,"win","loss"))</f>
      </c>
      <c r="N764" s="0" t="inlineStr">
        <is>
          <t xml:space="preserve"/>
        </is>
      </c>
      <c r="O764" s="0" t="inlineStr">
        <is>
          <t xml:space="preserve"/>
        </is>
      </c>
      <c r="P764" s="0" t="inlineStr">
        <is>
          <t xml:space="preserve"/>
        </is>
      </c>
      <c r="Q764" s="0" t="inlineStr">
        <is>
          <t xml:space="preserve"/>
        </is>
      </c>
      <c r="R764" s="0">
        <f>IF(D764="","",IFERROR(LOOKUP(2,1/(($D$2:$D$1001=D764)*($M$2:$M$1001="win")),$L$2:$L$1001),""))</f>
      </c>
      <c r="S764" s="0" t="inlineStr">
        <is>
          <t xml:space="preserve"/>
        </is>
      </c>
      <c r="T764" s="0" t="inlineStr">
        <is>
          <t xml:space="preserve"/>
        </is>
      </c>
      <c r="U764" s="0" t="inlineStr">
        <is>
          <t xml:space="preserve"/>
        </is>
      </c>
      <c r="V764" s="0" t="inlineStr">
        <is>
          <t xml:space="preserve"/>
        </is>
      </c>
      <c r="W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 t="inlineStr">
        <is>
          <t xml:space="preserve"/>
        </is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>
        <f>IF(E765="","",IF(OR(ISNUMBER(SEARCH("狼",E765)),ISNUMBER(SEARCH("石像鬼",E765)),ISNUMBER(SEARCH("恶灵骑士",E765)),ISNUMBER(SEARCH("黑蝙蝠",E765)),ISNUMBER(SEARCH("血月使徒",E765))),"werewolves","villagers"))</f>
      </c>
      <c r="M765" s="0">
        <f>IF(F765="","",IF(ROUND(F765,2)=5,"win","loss"))</f>
      </c>
      <c r="N765" s="0" t="inlineStr">
        <is>
          <t xml:space="preserve"/>
        </is>
      </c>
      <c r="O765" s="0" t="inlineStr">
        <is>
          <t xml:space="preserve"/>
        </is>
      </c>
      <c r="P765" s="0" t="inlineStr">
        <is>
          <t xml:space="preserve"/>
        </is>
      </c>
      <c r="Q765" s="0" t="inlineStr">
        <is>
          <t xml:space="preserve"/>
        </is>
      </c>
      <c r="R765" s="0">
        <f>IF(D765="","",IFERROR(LOOKUP(2,1/(($D$2:$D$1001=D765)*($M$2:$M$1001="win")),$L$2:$L$1001),""))</f>
      </c>
      <c r="S765" s="0" t="inlineStr">
        <is>
          <t xml:space="preserve"/>
        </is>
      </c>
      <c r="T765" s="0" t="inlineStr">
        <is>
          <t xml:space="preserve"/>
        </is>
      </c>
      <c r="U765" s="0" t="inlineStr">
        <is>
          <t xml:space="preserve"/>
        </is>
      </c>
      <c r="V765" s="0" t="inlineStr">
        <is>
          <t xml:space="preserve"/>
        </is>
      </c>
      <c r="W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>
        <f>IF(E766="","",IF(OR(ISNUMBER(SEARCH("狼",E766)),ISNUMBER(SEARCH("石像鬼",E766)),ISNUMBER(SEARCH("恶灵骑士",E766)),ISNUMBER(SEARCH("黑蝙蝠",E766)),ISNUMBER(SEARCH("血月使徒",E766))),"werewolves","villagers"))</f>
      </c>
      <c r="M766" s="0">
        <f>IF(F766="","",IF(ROUND(F766,2)=5,"win","loss"))</f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>
        <f>IF(D766="","",IFERROR(LOOKUP(2,1/(($D$2:$D$1001=D766)*($M$2:$M$1001="win")),$L$2:$L$1001),""))</f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>
        <f>IF(E767="","",IF(OR(ISNUMBER(SEARCH("狼",E767)),ISNUMBER(SEARCH("石像鬼",E767)),ISNUMBER(SEARCH("恶灵骑士",E767)),ISNUMBER(SEARCH("黑蝙蝠",E767)),ISNUMBER(SEARCH("血月使徒",E767))),"werewolves","villagers"))</f>
      </c>
      <c r="M767" s="0">
        <f>IF(F767="","",IF(ROUND(F767,2)=5,"win","loss"))</f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>
        <f>IF(D767="","",IFERROR(LOOKUP(2,1/(($D$2:$D$1001=D767)*($M$2:$M$1001="win")),$L$2:$L$1001),""))</f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 t="inlineStr">
        <is>
          <t xml:space="preserve"/>
        </is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>
        <f>IF(E768="","",IF(OR(ISNUMBER(SEARCH("狼",E768)),ISNUMBER(SEARCH("石像鬼",E768)),ISNUMBER(SEARCH("恶灵骑士",E768)),ISNUMBER(SEARCH("黑蝙蝠",E768)),ISNUMBER(SEARCH("血月使徒",E768))),"werewolves","villagers"))</f>
      </c>
      <c r="M768" s="0">
        <f>IF(F768="","",IF(ROUND(F768,2)=5,"win","loss"))</f>
      </c>
      <c r="N768" s="0" t="inlineStr">
        <is>
          <t xml:space="preserve"/>
        </is>
      </c>
      <c r="O768" s="0" t="inlineStr">
        <is>
          <t xml:space="preserve"/>
        </is>
      </c>
      <c r="P768" s="0" t="inlineStr">
        <is>
          <t xml:space="preserve"/>
        </is>
      </c>
      <c r="Q768" s="0" t="inlineStr">
        <is>
          <t xml:space="preserve"/>
        </is>
      </c>
      <c r="R768" s="0">
        <f>IF(D768="","",IFERROR(LOOKUP(2,1/(($D$2:$D$1001=D768)*($M$2:$M$1001="win")),$L$2:$L$1001),""))</f>
      </c>
      <c r="S768" s="0" t="inlineStr">
        <is>
          <t xml:space="preserve"/>
        </is>
      </c>
      <c r="T768" s="0" t="inlineStr">
        <is>
          <t xml:space="preserve"/>
        </is>
      </c>
      <c r="U768" s="0" t="inlineStr">
        <is>
          <t xml:space="preserve"/>
        </is>
      </c>
      <c r="V768" s="0" t="inlineStr">
        <is>
          <t xml:space="preserve"/>
        </is>
      </c>
      <c r="W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 t="inlineStr">
        <is>
          <t xml:space="preserve"/>
        </is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>
        <f>IF(E769="","",IF(OR(ISNUMBER(SEARCH("狼",E769)),ISNUMBER(SEARCH("石像鬼",E769)),ISNUMBER(SEARCH("恶灵骑士",E769)),ISNUMBER(SEARCH("黑蝙蝠",E769)),ISNUMBER(SEARCH("血月使徒",E769))),"werewolves","villagers"))</f>
      </c>
      <c r="M769" s="0">
        <f>IF(F769="","",IF(ROUND(F769,2)=5,"win","loss"))</f>
      </c>
      <c r="N769" s="0" t="inlineStr">
        <is>
          <t xml:space="preserve"/>
        </is>
      </c>
      <c r="O769" s="0" t="inlineStr">
        <is>
          <t xml:space="preserve"/>
        </is>
      </c>
      <c r="P769" s="0" t="inlineStr">
        <is>
          <t xml:space="preserve"/>
        </is>
      </c>
      <c r="Q769" s="0" t="inlineStr">
        <is>
          <t xml:space="preserve"/>
        </is>
      </c>
      <c r="R769" s="0">
        <f>IF(D769="","",IFERROR(LOOKUP(2,1/(($D$2:$D$1001=D769)*($M$2:$M$1001="win")),$L$2:$L$1001),""))</f>
      </c>
      <c r="S769" s="0" t="inlineStr">
        <is>
          <t xml:space="preserve"/>
        </is>
      </c>
      <c r="T769" s="0" t="inlineStr">
        <is>
          <t xml:space="preserve"/>
        </is>
      </c>
      <c r="U769" s="0" t="inlineStr">
        <is>
          <t xml:space="preserve"/>
        </is>
      </c>
      <c r="V769" s="0" t="inlineStr">
        <is>
          <t xml:space="preserve"/>
        </is>
      </c>
      <c r="W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 t="inlineStr">
        <is>
          <t xml:space="preserve"/>
        </is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>
        <f>IF(E770="","",IF(OR(ISNUMBER(SEARCH("狼",E770)),ISNUMBER(SEARCH("石像鬼",E770)),ISNUMBER(SEARCH("恶灵骑士",E770)),ISNUMBER(SEARCH("黑蝙蝠",E770)),ISNUMBER(SEARCH("血月使徒",E770))),"werewolves","villagers"))</f>
      </c>
      <c r="M770" s="0">
        <f>IF(F770="","",IF(ROUND(F770,2)=5,"win","loss"))</f>
      </c>
      <c r="N770" s="0" t="inlineStr">
        <is>
          <t xml:space="preserve"/>
        </is>
      </c>
      <c r="O770" s="0" t="inlineStr">
        <is>
          <t xml:space="preserve"/>
        </is>
      </c>
      <c r="P770" s="0" t="inlineStr">
        <is>
          <t xml:space="preserve"/>
        </is>
      </c>
      <c r="Q770" s="0" t="inlineStr">
        <is>
          <t xml:space="preserve"/>
        </is>
      </c>
      <c r="R770" s="0">
        <f>IF(D770="","",IFERROR(LOOKUP(2,1/(($D$2:$D$1001=D770)*($M$2:$M$1001="win")),$L$2:$L$1001),""))</f>
      </c>
      <c r="S770" s="0" t="inlineStr">
        <is>
          <t xml:space="preserve"/>
        </is>
      </c>
      <c r="T770" s="0" t="inlineStr">
        <is>
          <t xml:space="preserve"/>
        </is>
      </c>
      <c r="U770" s="0" t="inlineStr">
        <is>
          <t xml:space="preserve"/>
        </is>
      </c>
      <c r="V770" s="0" t="inlineStr">
        <is>
          <t xml:space="preserve"/>
        </is>
      </c>
      <c r="W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>
        <f>IF(E771="","",IF(OR(ISNUMBER(SEARCH("狼",E771)),ISNUMBER(SEARCH("石像鬼",E771)),ISNUMBER(SEARCH("恶灵骑士",E771)),ISNUMBER(SEARCH("黑蝙蝠",E771)),ISNUMBER(SEARCH("血月使徒",E771))),"werewolves","villagers"))</f>
      </c>
      <c r="M771" s="0">
        <f>IF(F771="","",IF(ROUND(F771,2)=5,"win","loss"))</f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>
        <f>IF(D771="","",IFERROR(LOOKUP(2,1/(($D$2:$D$1001=D771)*($M$2:$M$1001="win")),$L$2:$L$1001),""))</f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>
        <f>IF(E772="","",IF(OR(ISNUMBER(SEARCH("狼",E772)),ISNUMBER(SEARCH("石像鬼",E772)),ISNUMBER(SEARCH("恶灵骑士",E772)),ISNUMBER(SEARCH("黑蝙蝠",E772)),ISNUMBER(SEARCH("血月使徒",E772))),"werewolves","villagers"))</f>
      </c>
      <c r="M772" s="0">
        <f>IF(F772="","",IF(ROUND(F772,2)=5,"win","loss"))</f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>
        <f>IF(D772="","",IFERROR(LOOKUP(2,1/(($D$2:$D$1001=D772)*($M$2:$M$1001="win")),$L$2:$L$1001),""))</f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 t="inlineStr">
        <is>
          <t xml:space="preserve"/>
        </is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>
        <f>IF(E773="","",IF(OR(ISNUMBER(SEARCH("狼",E773)),ISNUMBER(SEARCH("石像鬼",E773)),ISNUMBER(SEARCH("恶灵骑士",E773)),ISNUMBER(SEARCH("黑蝙蝠",E773)),ISNUMBER(SEARCH("血月使徒",E773))),"werewolves","villagers"))</f>
      </c>
      <c r="M773" s="0">
        <f>IF(F773="","",IF(ROUND(F773,2)=5,"win","loss"))</f>
      </c>
      <c r="N773" s="0" t="inlineStr">
        <is>
          <t xml:space="preserve"/>
        </is>
      </c>
      <c r="O773" s="0" t="inlineStr">
        <is>
          <t xml:space="preserve"/>
        </is>
      </c>
      <c r="P773" s="0" t="inlineStr">
        <is>
          <t xml:space="preserve"/>
        </is>
      </c>
      <c r="Q773" s="0" t="inlineStr">
        <is>
          <t xml:space="preserve"/>
        </is>
      </c>
      <c r="R773" s="0">
        <f>IF(D773="","",IFERROR(LOOKUP(2,1/(($D$2:$D$1001=D773)*($M$2:$M$1001="win")),$L$2:$L$1001),""))</f>
      </c>
      <c r="S773" s="0" t="inlineStr">
        <is>
          <t xml:space="preserve"/>
        </is>
      </c>
      <c r="T773" s="0" t="inlineStr">
        <is>
          <t xml:space="preserve"/>
        </is>
      </c>
      <c r="U773" s="0" t="inlineStr">
        <is>
          <t xml:space="preserve"/>
        </is>
      </c>
      <c r="V773" s="0" t="inlineStr">
        <is>
          <t xml:space="preserve"/>
        </is>
      </c>
      <c r="W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 t="inlineStr">
        <is>
          <t xml:space="preserve"/>
        </is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>
        <f>IF(E774="","",IF(OR(ISNUMBER(SEARCH("狼",E774)),ISNUMBER(SEARCH("石像鬼",E774)),ISNUMBER(SEARCH("恶灵骑士",E774)),ISNUMBER(SEARCH("黑蝙蝠",E774)),ISNUMBER(SEARCH("血月使徒",E774))),"werewolves","villagers"))</f>
      </c>
      <c r="M774" s="0">
        <f>IF(F774="","",IF(ROUND(F774,2)=5,"win","loss"))</f>
      </c>
      <c r="N774" s="0" t="inlineStr">
        <is>
          <t xml:space="preserve"/>
        </is>
      </c>
      <c r="O774" s="0" t="inlineStr">
        <is>
          <t xml:space="preserve"/>
        </is>
      </c>
      <c r="P774" s="0" t="inlineStr">
        <is>
          <t xml:space="preserve"/>
        </is>
      </c>
      <c r="Q774" s="0" t="inlineStr">
        <is>
          <t xml:space="preserve"/>
        </is>
      </c>
      <c r="R774" s="0">
        <f>IF(D774="","",IFERROR(LOOKUP(2,1/(($D$2:$D$1001=D774)*($M$2:$M$1001="win")),$L$2:$L$1001),""))</f>
      </c>
      <c r="S774" s="0" t="inlineStr">
        <is>
          <t xml:space="preserve"/>
        </is>
      </c>
      <c r="T774" s="0" t="inlineStr">
        <is>
          <t xml:space="preserve"/>
        </is>
      </c>
      <c r="U774" s="0" t="inlineStr">
        <is>
          <t xml:space="preserve"/>
        </is>
      </c>
      <c r="V774" s="0" t="inlineStr">
        <is>
          <t xml:space="preserve"/>
        </is>
      </c>
      <c r="W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>
        <f>IF(E775="","",IF(OR(ISNUMBER(SEARCH("狼",E775)),ISNUMBER(SEARCH("石像鬼",E775)),ISNUMBER(SEARCH("恶灵骑士",E775)),ISNUMBER(SEARCH("黑蝙蝠",E775)),ISNUMBER(SEARCH("血月使徒",E775))),"werewolves","villagers"))</f>
      </c>
      <c r="M775" s="0">
        <f>IF(F775="","",IF(ROUND(F775,2)=5,"win","loss"))</f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>
        <f>IF(D775="","",IFERROR(LOOKUP(2,1/(($D$2:$D$1001=D775)*($M$2:$M$1001="win")),$L$2:$L$1001),""))</f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>
        <f>IF(E776="","",IF(OR(ISNUMBER(SEARCH("狼",E776)),ISNUMBER(SEARCH("石像鬼",E776)),ISNUMBER(SEARCH("恶灵骑士",E776)),ISNUMBER(SEARCH("黑蝙蝠",E776)),ISNUMBER(SEARCH("血月使徒",E776))),"werewolves","villagers"))</f>
      </c>
      <c r="M776" s="0">
        <f>IF(F776="","",IF(ROUND(F776,2)=5,"win","loss"))</f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>
        <f>IF(D776="","",IFERROR(LOOKUP(2,1/(($D$2:$D$1001=D776)*($M$2:$M$1001="win")),$L$2:$L$1001),""))</f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 t="inlineStr">
        <is>
          <t xml:space="preserve"/>
        </is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>
        <f>IF(E777="","",IF(OR(ISNUMBER(SEARCH("狼",E777)),ISNUMBER(SEARCH("石像鬼",E777)),ISNUMBER(SEARCH("恶灵骑士",E777)),ISNUMBER(SEARCH("黑蝙蝠",E777)),ISNUMBER(SEARCH("血月使徒",E777))),"werewolves","villagers"))</f>
      </c>
      <c r="M777" s="0">
        <f>IF(F777="","",IF(ROUND(F777,2)=5,"win","loss"))</f>
      </c>
      <c r="N777" s="0" t="inlineStr">
        <is>
          <t xml:space="preserve"/>
        </is>
      </c>
      <c r="O777" s="0" t="inlineStr">
        <is>
          <t xml:space="preserve"/>
        </is>
      </c>
      <c r="P777" s="0" t="inlineStr">
        <is>
          <t xml:space="preserve"/>
        </is>
      </c>
      <c r="Q777" s="0" t="inlineStr">
        <is>
          <t xml:space="preserve"/>
        </is>
      </c>
      <c r="R777" s="0">
        <f>IF(D777="","",IFERROR(LOOKUP(2,1/(($D$2:$D$1001=D777)*($M$2:$M$1001="win")),$L$2:$L$1001),""))</f>
      </c>
      <c r="S777" s="0" t="inlineStr">
        <is>
          <t xml:space="preserve"/>
        </is>
      </c>
      <c r="T777" s="0" t="inlineStr">
        <is>
          <t xml:space="preserve"/>
        </is>
      </c>
      <c r="U777" s="0" t="inlineStr">
        <is>
          <t xml:space="preserve"/>
        </is>
      </c>
      <c r="V777" s="0" t="inlineStr">
        <is>
          <t xml:space="preserve"/>
        </is>
      </c>
      <c r="W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 t="inlineStr">
        <is>
          <t xml:space="preserve"/>
        </is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>
        <f>IF(E778="","",IF(OR(ISNUMBER(SEARCH("狼",E778)),ISNUMBER(SEARCH("石像鬼",E778)),ISNUMBER(SEARCH("恶灵骑士",E778)),ISNUMBER(SEARCH("黑蝙蝠",E778)),ISNUMBER(SEARCH("血月使徒",E778))),"werewolves","villagers"))</f>
      </c>
      <c r="M778" s="0">
        <f>IF(F778="","",IF(ROUND(F778,2)=5,"win","loss"))</f>
      </c>
      <c r="N778" s="0" t="inlineStr">
        <is>
          <t xml:space="preserve"/>
        </is>
      </c>
      <c r="O778" s="0" t="inlineStr">
        <is>
          <t xml:space="preserve"/>
        </is>
      </c>
      <c r="P778" s="0" t="inlineStr">
        <is>
          <t xml:space="preserve"/>
        </is>
      </c>
      <c r="Q778" s="0" t="inlineStr">
        <is>
          <t xml:space="preserve"/>
        </is>
      </c>
      <c r="R778" s="0">
        <f>IF(D778="","",IFERROR(LOOKUP(2,1/(($D$2:$D$1001=D778)*($M$2:$M$1001="win")),$L$2:$L$1001),""))</f>
      </c>
      <c r="S778" s="0" t="inlineStr">
        <is>
          <t xml:space="preserve"/>
        </is>
      </c>
      <c r="T778" s="0" t="inlineStr">
        <is>
          <t xml:space="preserve"/>
        </is>
      </c>
      <c r="U778" s="0" t="inlineStr">
        <is>
          <t xml:space="preserve"/>
        </is>
      </c>
      <c r="V778" s="0" t="inlineStr">
        <is>
          <t xml:space="preserve"/>
        </is>
      </c>
      <c r="W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 t="inlineStr">
        <is>
          <t xml:space="preserve"/>
        </is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>
        <f>IF(E779="","",IF(OR(ISNUMBER(SEARCH("狼",E779)),ISNUMBER(SEARCH("石像鬼",E779)),ISNUMBER(SEARCH("恶灵骑士",E779)),ISNUMBER(SEARCH("黑蝙蝠",E779)),ISNUMBER(SEARCH("血月使徒",E779))),"werewolves","villagers"))</f>
      </c>
      <c r="M779" s="0">
        <f>IF(F779="","",IF(ROUND(F779,2)=5,"win","loss"))</f>
      </c>
      <c r="N779" s="0" t="inlineStr">
        <is>
          <t xml:space="preserve"/>
        </is>
      </c>
      <c r="O779" s="0" t="inlineStr">
        <is>
          <t xml:space="preserve"/>
        </is>
      </c>
      <c r="P779" s="0" t="inlineStr">
        <is>
          <t xml:space="preserve"/>
        </is>
      </c>
      <c r="Q779" s="0" t="inlineStr">
        <is>
          <t xml:space="preserve"/>
        </is>
      </c>
      <c r="R779" s="0">
        <f>IF(D779="","",IFERROR(LOOKUP(2,1/(($D$2:$D$1001=D779)*($M$2:$M$1001="win")),$L$2:$L$1001),""))</f>
      </c>
      <c r="S779" s="0" t="inlineStr">
        <is>
          <t xml:space="preserve"/>
        </is>
      </c>
      <c r="T779" s="0" t="inlineStr">
        <is>
          <t xml:space="preserve"/>
        </is>
      </c>
      <c r="U779" s="0" t="inlineStr">
        <is>
          <t xml:space="preserve"/>
        </is>
      </c>
      <c r="V779" s="0" t="inlineStr">
        <is>
          <t xml:space="preserve"/>
        </is>
      </c>
      <c r="W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>
        <f>IF(E780="","",IF(OR(ISNUMBER(SEARCH("狼",E780)),ISNUMBER(SEARCH("石像鬼",E780)),ISNUMBER(SEARCH("恶灵骑士",E780)),ISNUMBER(SEARCH("黑蝙蝠",E780)),ISNUMBER(SEARCH("血月使徒",E780))),"werewolves","villagers"))</f>
      </c>
      <c r="M780" s="0">
        <f>IF(F780="","",IF(ROUND(F780,2)=5,"win","loss"))</f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>
        <f>IF(D780="","",IFERROR(LOOKUP(2,1/(($D$2:$D$1001=D780)*($M$2:$M$1001="win")),$L$2:$L$1001),""))</f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>
        <f>IF(E781="","",IF(OR(ISNUMBER(SEARCH("狼",E781)),ISNUMBER(SEARCH("石像鬼",E781)),ISNUMBER(SEARCH("恶灵骑士",E781)),ISNUMBER(SEARCH("黑蝙蝠",E781)),ISNUMBER(SEARCH("血月使徒",E781))),"werewolves","villagers"))</f>
      </c>
      <c r="M781" s="0">
        <f>IF(F781="","",IF(ROUND(F781,2)=5,"win","loss"))</f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>
        <f>IF(D781="","",IFERROR(LOOKUP(2,1/(($D$2:$D$1001=D781)*($M$2:$M$1001="win")),$L$2:$L$1001),""))</f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 t="inlineStr">
        <is>
          <t xml:space="preserve"/>
        </is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>
        <f>IF(E782="","",IF(OR(ISNUMBER(SEARCH("狼",E782)),ISNUMBER(SEARCH("石像鬼",E782)),ISNUMBER(SEARCH("恶灵骑士",E782)),ISNUMBER(SEARCH("黑蝙蝠",E782)),ISNUMBER(SEARCH("血月使徒",E782))),"werewolves","villagers"))</f>
      </c>
      <c r="M782" s="0">
        <f>IF(F782="","",IF(ROUND(F782,2)=5,"win","loss"))</f>
      </c>
      <c r="N782" s="0" t="inlineStr">
        <is>
          <t xml:space="preserve"/>
        </is>
      </c>
      <c r="O782" s="0" t="inlineStr">
        <is>
          <t xml:space="preserve"/>
        </is>
      </c>
      <c r="P782" s="0" t="inlineStr">
        <is>
          <t xml:space="preserve"/>
        </is>
      </c>
      <c r="Q782" s="0" t="inlineStr">
        <is>
          <t xml:space="preserve"/>
        </is>
      </c>
      <c r="R782" s="0">
        <f>IF(D782="","",IFERROR(LOOKUP(2,1/(($D$2:$D$1001=D782)*($M$2:$M$1001="win")),$L$2:$L$1001),""))</f>
      </c>
      <c r="S782" s="0" t="inlineStr">
        <is>
          <t xml:space="preserve"/>
        </is>
      </c>
      <c r="T782" s="0" t="inlineStr">
        <is>
          <t xml:space="preserve"/>
        </is>
      </c>
      <c r="U782" s="0" t="inlineStr">
        <is>
          <t xml:space="preserve"/>
        </is>
      </c>
      <c r="V782" s="0" t="inlineStr">
        <is>
          <t xml:space="preserve"/>
        </is>
      </c>
      <c r="W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 t="inlineStr">
        <is>
          <t xml:space="preserve"/>
        </is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>
        <f>IF(E783="","",IF(OR(ISNUMBER(SEARCH("狼",E783)),ISNUMBER(SEARCH("石像鬼",E783)),ISNUMBER(SEARCH("恶灵骑士",E783)),ISNUMBER(SEARCH("黑蝙蝠",E783)),ISNUMBER(SEARCH("血月使徒",E783))),"werewolves","villagers"))</f>
      </c>
      <c r="M783" s="0">
        <f>IF(F783="","",IF(ROUND(F783,2)=5,"win","loss"))</f>
      </c>
      <c r="N783" s="0" t="inlineStr">
        <is>
          <t xml:space="preserve"/>
        </is>
      </c>
      <c r="O783" s="0" t="inlineStr">
        <is>
          <t xml:space="preserve"/>
        </is>
      </c>
      <c r="P783" s="0" t="inlineStr">
        <is>
          <t xml:space="preserve"/>
        </is>
      </c>
      <c r="Q783" s="0" t="inlineStr">
        <is>
          <t xml:space="preserve"/>
        </is>
      </c>
      <c r="R783" s="0">
        <f>IF(D783="","",IFERROR(LOOKUP(2,1/(($D$2:$D$1001=D783)*($M$2:$M$1001="win")),$L$2:$L$1001),""))</f>
      </c>
      <c r="S783" s="0" t="inlineStr">
        <is>
          <t xml:space="preserve"/>
        </is>
      </c>
      <c r="T783" s="0" t="inlineStr">
        <is>
          <t xml:space="preserve"/>
        </is>
      </c>
      <c r="U783" s="0" t="inlineStr">
        <is>
          <t xml:space="preserve"/>
        </is>
      </c>
      <c r="V783" s="0" t="inlineStr">
        <is>
          <t xml:space="preserve"/>
        </is>
      </c>
      <c r="W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>
        <f>IF(E784="","",IF(OR(ISNUMBER(SEARCH("狼",E784)),ISNUMBER(SEARCH("石像鬼",E784)),ISNUMBER(SEARCH("恶灵骑士",E784)),ISNUMBER(SEARCH("黑蝙蝠",E784)),ISNUMBER(SEARCH("血月使徒",E784))),"werewolves","villagers"))</f>
      </c>
      <c r="M784" s="0">
        <f>IF(F784="","",IF(ROUND(F784,2)=5,"win","loss"))</f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>
        <f>IF(D784="","",IFERROR(LOOKUP(2,1/(($D$2:$D$1001=D784)*($M$2:$M$1001="win")),$L$2:$L$1001),""))</f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>
        <f>IF(E785="","",IF(OR(ISNUMBER(SEARCH("狼",E785)),ISNUMBER(SEARCH("石像鬼",E785)),ISNUMBER(SEARCH("恶灵骑士",E785)),ISNUMBER(SEARCH("黑蝙蝠",E785)),ISNUMBER(SEARCH("血月使徒",E785))),"werewolves","villagers"))</f>
      </c>
      <c r="M785" s="0">
        <f>IF(F785="","",IF(ROUND(F785,2)=5,"win","loss"))</f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>
        <f>IF(D785="","",IFERROR(LOOKUP(2,1/(($D$2:$D$1001=D785)*($M$2:$M$1001="win")),$L$2:$L$1001),""))</f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 t="inlineStr">
        <is>
          <t xml:space="preserve"/>
        </is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>
        <f>IF(E786="","",IF(OR(ISNUMBER(SEARCH("狼",E786)),ISNUMBER(SEARCH("石像鬼",E786)),ISNUMBER(SEARCH("恶灵骑士",E786)),ISNUMBER(SEARCH("黑蝙蝠",E786)),ISNUMBER(SEARCH("血月使徒",E786))),"werewolves","villagers"))</f>
      </c>
      <c r="M786" s="0">
        <f>IF(F786="","",IF(ROUND(F786,2)=5,"win","loss"))</f>
      </c>
      <c r="N786" s="0" t="inlineStr">
        <is>
          <t xml:space="preserve"/>
        </is>
      </c>
      <c r="O786" s="0" t="inlineStr">
        <is>
          <t xml:space="preserve"/>
        </is>
      </c>
      <c r="P786" s="0" t="inlineStr">
        <is>
          <t xml:space="preserve"/>
        </is>
      </c>
      <c r="Q786" s="0" t="inlineStr">
        <is>
          <t xml:space="preserve"/>
        </is>
      </c>
      <c r="R786" s="0">
        <f>IF(D786="","",IFERROR(LOOKUP(2,1/(($D$2:$D$1001=D786)*($M$2:$M$1001="win")),$L$2:$L$1001),""))</f>
      </c>
      <c r="S786" s="0" t="inlineStr">
        <is>
          <t xml:space="preserve"/>
        </is>
      </c>
      <c r="T786" s="0" t="inlineStr">
        <is>
          <t xml:space="preserve"/>
        </is>
      </c>
      <c r="U786" s="0" t="inlineStr">
        <is>
          <t xml:space="preserve"/>
        </is>
      </c>
      <c r="V786" s="0" t="inlineStr">
        <is>
          <t xml:space="preserve"/>
        </is>
      </c>
      <c r="W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 t="inlineStr">
        <is>
          <t xml:space="preserve"/>
        </is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>
        <f>IF(E787="","",IF(OR(ISNUMBER(SEARCH("狼",E787)),ISNUMBER(SEARCH("石像鬼",E787)),ISNUMBER(SEARCH("恶灵骑士",E787)),ISNUMBER(SEARCH("黑蝙蝠",E787)),ISNUMBER(SEARCH("血月使徒",E787))),"werewolves","villagers"))</f>
      </c>
      <c r="M787" s="0">
        <f>IF(F787="","",IF(ROUND(F787,2)=5,"win","loss"))</f>
      </c>
      <c r="N787" s="0" t="inlineStr">
        <is>
          <t xml:space="preserve"/>
        </is>
      </c>
      <c r="O787" s="0" t="inlineStr">
        <is>
          <t xml:space="preserve"/>
        </is>
      </c>
      <c r="P787" s="0" t="inlineStr">
        <is>
          <t xml:space="preserve"/>
        </is>
      </c>
      <c r="Q787" s="0" t="inlineStr">
        <is>
          <t xml:space="preserve"/>
        </is>
      </c>
      <c r="R787" s="0">
        <f>IF(D787="","",IFERROR(LOOKUP(2,1/(($D$2:$D$1001=D787)*($M$2:$M$1001="win")),$L$2:$L$1001),""))</f>
      </c>
      <c r="S787" s="0" t="inlineStr">
        <is>
          <t xml:space="preserve"/>
        </is>
      </c>
      <c r="T787" s="0" t="inlineStr">
        <is>
          <t xml:space="preserve"/>
        </is>
      </c>
      <c r="U787" s="0" t="inlineStr">
        <is>
          <t xml:space="preserve"/>
        </is>
      </c>
      <c r="V787" s="0" t="inlineStr">
        <is>
          <t xml:space="preserve"/>
        </is>
      </c>
      <c r="W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>
        <f>IF(E788="","",IF(OR(ISNUMBER(SEARCH("狼",E788)),ISNUMBER(SEARCH("石像鬼",E788)),ISNUMBER(SEARCH("恶灵骑士",E788)),ISNUMBER(SEARCH("黑蝙蝠",E788)),ISNUMBER(SEARCH("血月使徒",E788))),"werewolves","villagers"))</f>
      </c>
      <c r="M788" s="0">
        <f>IF(F788="","",IF(ROUND(F788,2)=5,"win","loss"))</f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>
        <f>IF(D788="","",IFERROR(LOOKUP(2,1/(($D$2:$D$1001=D788)*($M$2:$M$1001="win")),$L$2:$L$1001),""))</f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 t="inlineStr">
        <is>
          <t xml:space="preserve"/>
        </is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>
        <f>IF(E789="","",IF(OR(ISNUMBER(SEARCH("狼",E789)),ISNUMBER(SEARCH("石像鬼",E789)),ISNUMBER(SEARCH("恶灵骑士",E789)),ISNUMBER(SEARCH("黑蝙蝠",E789)),ISNUMBER(SEARCH("血月使徒",E789))),"werewolves","villagers"))</f>
      </c>
      <c r="M789" s="0">
        <f>IF(F789="","",IF(ROUND(F789,2)=5,"win","loss"))</f>
      </c>
      <c r="N789" s="0" t="inlineStr">
        <is>
          <t xml:space="preserve"/>
        </is>
      </c>
      <c r="O789" s="0" t="inlineStr">
        <is>
          <t xml:space="preserve"/>
        </is>
      </c>
      <c r="P789" s="0" t="inlineStr">
        <is>
          <t xml:space="preserve"/>
        </is>
      </c>
      <c r="Q789" s="0" t="inlineStr">
        <is>
          <t xml:space="preserve"/>
        </is>
      </c>
      <c r="R789" s="0">
        <f>IF(D789="","",IFERROR(LOOKUP(2,1/(($D$2:$D$1001=D789)*($M$2:$M$1001="win")),$L$2:$L$1001),""))</f>
      </c>
      <c r="S789" s="0" t="inlineStr">
        <is>
          <t xml:space="preserve"/>
        </is>
      </c>
      <c r="T789" s="0" t="inlineStr">
        <is>
          <t xml:space="preserve"/>
        </is>
      </c>
      <c r="U789" s="0" t="inlineStr">
        <is>
          <t xml:space="preserve"/>
        </is>
      </c>
      <c r="V789" s="0" t="inlineStr">
        <is>
          <t xml:space="preserve"/>
        </is>
      </c>
      <c r="W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 t="inlineStr">
        <is>
          <t xml:space="preserve"/>
        </is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>
        <f>IF(E790="","",IF(OR(ISNUMBER(SEARCH("狼",E790)),ISNUMBER(SEARCH("石像鬼",E790)),ISNUMBER(SEARCH("恶灵骑士",E790)),ISNUMBER(SEARCH("黑蝙蝠",E790)),ISNUMBER(SEARCH("血月使徒",E790))),"werewolves","villagers"))</f>
      </c>
      <c r="M790" s="0">
        <f>IF(F790="","",IF(ROUND(F790,2)=5,"win","loss"))</f>
      </c>
      <c r="N790" s="0" t="inlineStr">
        <is>
          <t xml:space="preserve"/>
        </is>
      </c>
      <c r="O790" s="0" t="inlineStr">
        <is>
          <t xml:space="preserve"/>
        </is>
      </c>
      <c r="P790" s="0" t="inlineStr">
        <is>
          <t xml:space="preserve"/>
        </is>
      </c>
      <c r="Q790" s="0" t="inlineStr">
        <is>
          <t xml:space="preserve"/>
        </is>
      </c>
      <c r="R790" s="0">
        <f>IF(D790="","",IFERROR(LOOKUP(2,1/(($D$2:$D$1001=D790)*($M$2:$M$1001="win")),$L$2:$L$1001),""))</f>
      </c>
      <c r="S790" s="0" t="inlineStr">
        <is>
          <t xml:space="preserve"/>
        </is>
      </c>
      <c r="T790" s="0" t="inlineStr">
        <is>
          <t xml:space="preserve"/>
        </is>
      </c>
      <c r="U790" s="0" t="inlineStr">
        <is>
          <t xml:space="preserve"/>
        </is>
      </c>
      <c r="V790" s="0" t="inlineStr">
        <is>
          <t xml:space="preserve"/>
        </is>
      </c>
      <c r="W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 t="inlineStr">
        <is>
          <t xml:space="preserve"/>
        </is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>
        <f>IF(E791="","",IF(OR(ISNUMBER(SEARCH("狼",E791)),ISNUMBER(SEARCH("石像鬼",E791)),ISNUMBER(SEARCH("恶灵骑士",E791)),ISNUMBER(SEARCH("黑蝙蝠",E791)),ISNUMBER(SEARCH("血月使徒",E791))),"werewolves","villagers"))</f>
      </c>
      <c r="M791" s="0">
        <f>IF(F791="","",IF(ROUND(F791,2)=5,"win","loss"))</f>
      </c>
      <c r="N791" s="0" t="inlineStr">
        <is>
          <t xml:space="preserve"/>
        </is>
      </c>
      <c r="O791" s="0" t="inlineStr">
        <is>
          <t xml:space="preserve"/>
        </is>
      </c>
      <c r="P791" s="0" t="inlineStr">
        <is>
          <t xml:space="preserve"/>
        </is>
      </c>
      <c r="Q791" s="0" t="inlineStr">
        <is>
          <t xml:space="preserve"/>
        </is>
      </c>
      <c r="R791" s="0">
        <f>IF(D791="","",IFERROR(LOOKUP(2,1/(($D$2:$D$1001=D791)*($M$2:$M$1001="win")),$L$2:$L$1001),""))</f>
      </c>
      <c r="S791" s="0" t="inlineStr">
        <is>
          <t xml:space="preserve"/>
        </is>
      </c>
      <c r="T791" s="0" t="inlineStr">
        <is>
          <t xml:space="preserve"/>
        </is>
      </c>
      <c r="U791" s="0" t="inlineStr">
        <is>
          <t xml:space="preserve"/>
        </is>
      </c>
      <c r="V791" s="0" t="inlineStr">
        <is>
          <t xml:space="preserve"/>
        </is>
      </c>
      <c r="W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 t="inlineStr">
        <is>
          <t xml:space="preserve"/>
        </is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>
        <f>IF(E792="","",IF(OR(ISNUMBER(SEARCH("狼",E792)),ISNUMBER(SEARCH("石像鬼",E792)),ISNUMBER(SEARCH("恶灵骑士",E792)),ISNUMBER(SEARCH("黑蝙蝠",E792)),ISNUMBER(SEARCH("血月使徒",E792))),"werewolves","villagers"))</f>
      </c>
      <c r="M792" s="0">
        <f>IF(F792="","",IF(ROUND(F792,2)=5,"win","loss"))</f>
      </c>
      <c r="N792" s="0" t="inlineStr">
        <is>
          <t xml:space="preserve"/>
        </is>
      </c>
      <c r="O792" s="0" t="inlineStr">
        <is>
          <t xml:space="preserve"/>
        </is>
      </c>
      <c r="P792" s="0" t="inlineStr">
        <is>
          <t xml:space="preserve"/>
        </is>
      </c>
      <c r="Q792" s="0" t="inlineStr">
        <is>
          <t xml:space="preserve"/>
        </is>
      </c>
      <c r="R792" s="0">
        <f>IF(D792="","",IFERROR(LOOKUP(2,1/(($D$2:$D$1001=D792)*($M$2:$M$1001="win")),$L$2:$L$1001),""))</f>
      </c>
      <c r="S792" s="0" t="inlineStr">
        <is>
          <t xml:space="preserve"/>
        </is>
      </c>
      <c r="T792" s="0" t="inlineStr">
        <is>
          <t xml:space="preserve"/>
        </is>
      </c>
      <c r="U792" s="0" t="inlineStr">
        <is>
          <t xml:space="preserve"/>
        </is>
      </c>
      <c r="V792" s="0" t="inlineStr">
        <is>
          <t xml:space="preserve"/>
        </is>
      </c>
      <c r="W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 t="inlineStr">
        <is>
          <t xml:space="preserve"/>
        </is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>
        <f>IF(E793="","",IF(OR(ISNUMBER(SEARCH("狼",E793)),ISNUMBER(SEARCH("石像鬼",E793)),ISNUMBER(SEARCH("恶灵骑士",E793)),ISNUMBER(SEARCH("黑蝙蝠",E793)),ISNUMBER(SEARCH("血月使徒",E793))),"werewolves","villagers"))</f>
      </c>
      <c r="M793" s="0">
        <f>IF(F793="","",IF(ROUND(F793,2)=5,"win","loss"))</f>
      </c>
      <c r="N793" s="0" t="inlineStr">
        <is>
          <t xml:space="preserve"/>
        </is>
      </c>
      <c r="O793" s="0" t="inlineStr">
        <is>
          <t xml:space="preserve"/>
        </is>
      </c>
      <c r="P793" s="0" t="inlineStr">
        <is>
          <t xml:space="preserve"/>
        </is>
      </c>
      <c r="Q793" s="0" t="inlineStr">
        <is>
          <t xml:space="preserve"/>
        </is>
      </c>
      <c r="R793" s="0">
        <f>IF(D793="","",IFERROR(LOOKUP(2,1/(($D$2:$D$1001=D793)*($M$2:$M$1001="win")),$L$2:$L$1001),""))</f>
      </c>
      <c r="S793" s="0" t="inlineStr">
        <is>
          <t xml:space="preserve"/>
        </is>
      </c>
      <c r="T793" s="0" t="inlineStr">
        <is>
          <t xml:space="preserve"/>
        </is>
      </c>
      <c r="U793" s="0" t="inlineStr">
        <is>
          <t xml:space="preserve"/>
        </is>
      </c>
      <c r="V793" s="0" t="inlineStr">
        <is>
          <t xml:space="preserve"/>
        </is>
      </c>
      <c r="W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 t="inlineStr">
        <is>
          <t xml:space="preserve"/>
        </is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>
        <f>IF(E794="","",IF(OR(ISNUMBER(SEARCH("狼",E794)),ISNUMBER(SEARCH("石像鬼",E794)),ISNUMBER(SEARCH("恶灵骑士",E794)),ISNUMBER(SEARCH("黑蝙蝠",E794)),ISNUMBER(SEARCH("血月使徒",E794))),"werewolves","villagers"))</f>
      </c>
      <c r="M794" s="0">
        <f>IF(F794="","",IF(ROUND(F794,2)=5,"win","loss"))</f>
      </c>
      <c r="N794" s="0" t="inlineStr">
        <is>
          <t xml:space="preserve"/>
        </is>
      </c>
      <c r="O794" s="0" t="inlineStr">
        <is>
          <t xml:space="preserve"/>
        </is>
      </c>
      <c r="P794" s="0" t="inlineStr">
        <is>
          <t xml:space="preserve"/>
        </is>
      </c>
      <c r="Q794" s="0" t="inlineStr">
        <is>
          <t xml:space="preserve"/>
        </is>
      </c>
      <c r="R794" s="0">
        <f>IF(D794="","",IFERROR(LOOKUP(2,1/(($D$2:$D$1001=D794)*($M$2:$M$1001="win")),$L$2:$L$1001),""))</f>
      </c>
      <c r="S794" s="0" t="inlineStr">
        <is>
          <t xml:space="preserve"/>
        </is>
      </c>
      <c r="T794" s="0" t="inlineStr">
        <is>
          <t xml:space="preserve"/>
        </is>
      </c>
      <c r="U794" s="0" t="inlineStr">
        <is>
          <t xml:space="preserve"/>
        </is>
      </c>
      <c r="V794" s="0" t="inlineStr">
        <is>
          <t xml:space="preserve"/>
        </is>
      </c>
      <c r="W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>
        <f>IF(E795="","",IF(OR(ISNUMBER(SEARCH("狼",E795)),ISNUMBER(SEARCH("石像鬼",E795)),ISNUMBER(SEARCH("恶灵骑士",E795)),ISNUMBER(SEARCH("黑蝙蝠",E795)),ISNUMBER(SEARCH("血月使徒",E795))),"werewolves","villagers"))</f>
      </c>
      <c r="M795" s="0">
        <f>IF(F795="","",IF(ROUND(F795,2)=5,"win","loss"))</f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>
        <f>IF(D795="","",IFERROR(LOOKUP(2,1/(($D$2:$D$1001=D795)*($M$2:$M$1001="win")),$L$2:$L$1001),""))</f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 t="inlineStr">
        <is>
          <t xml:space="preserve"/>
        </is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>
        <f>IF(E796="","",IF(OR(ISNUMBER(SEARCH("狼",E796)),ISNUMBER(SEARCH("石像鬼",E796)),ISNUMBER(SEARCH("恶灵骑士",E796)),ISNUMBER(SEARCH("黑蝙蝠",E796)),ISNUMBER(SEARCH("血月使徒",E796))),"werewolves","villagers"))</f>
      </c>
      <c r="M796" s="0">
        <f>IF(F796="","",IF(ROUND(F796,2)=5,"win","loss"))</f>
      </c>
      <c r="N796" s="0" t="inlineStr">
        <is>
          <t xml:space="preserve"/>
        </is>
      </c>
      <c r="O796" s="0" t="inlineStr">
        <is>
          <t xml:space="preserve"/>
        </is>
      </c>
      <c r="P796" s="0" t="inlineStr">
        <is>
          <t xml:space="preserve"/>
        </is>
      </c>
      <c r="Q796" s="0" t="inlineStr">
        <is>
          <t xml:space="preserve"/>
        </is>
      </c>
      <c r="R796" s="0">
        <f>IF(D796="","",IFERROR(LOOKUP(2,1/(($D$2:$D$1001=D796)*($M$2:$M$1001="win")),$L$2:$L$1001),""))</f>
      </c>
      <c r="S796" s="0" t="inlineStr">
        <is>
          <t xml:space="preserve"/>
        </is>
      </c>
      <c r="T796" s="0" t="inlineStr">
        <is>
          <t xml:space="preserve"/>
        </is>
      </c>
      <c r="U796" s="0" t="inlineStr">
        <is>
          <t xml:space="preserve"/>
        </is>
      </c>
      <c r="V796" s="0" t="inlineStr">
        <is>
          <t xml:space="preserve"/>
        </is>
      </c>
      <c r="W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 t="inlineStr">
        <is>
          <t xml:space="preserve"/>
        </is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>
        <f>IF(E797="","",IF(OR(ISNUMBER(SEARCH("狼",E797)),ISNUMBER(SEARCH("石像鬼",E797)),ISNUMBER(SEARCH("恶灵骑士",E797)),ISNUMBER(SEARCH("黑蝙蝠",E797)),ISNUMBER(SEARCH("血月使徒",E797))),"werewolves","villagers"))</f>
      </c>
      <c r="M797" s="0">
        <f>IF(F797="","",IF(ROUND(F797,2)=5,"win","loss"))</f>
      </c>
      <c r="N797" s="0" t="inlineStr">
        <is>
          <t xml:space="preserve"/>
        </is>
      </c>
      <c r="O797" s="0" t="inlineStr">
        <is>
          <t xml:space="preserve"/>
        </is>
      </c>
      <c r="P797" s="0" t="inlineStr">
        <is>
          <t xml:space="preserve"/>
        </is>
      </c>
      <c r="Q797" s="0" t="inlineStr">
        <is>
          <t xml:space="preserve"/>
        </is>
      </c>
      <c r="R797" s="0">
        <f>IF(D797="","",IFERROR(LOOKUP(2,1/(($D$2:$D$1001=D797)*($M$2:$M$1001="win")),$L$2:$L$1001),""))</f>
      </c>
      <c r="S797" s="0" t="inlineStr">
        <is>
          <t xml:space="preserve"/>
        </is>
      </c>
      <c r="T797" s="0" t="inlineStr">
        <is>
          <t xml:space="preserve"/>
        </is>
      </c>
      <c r="U797" s="0" t="inlineStr">
        <is>
          <t xml:space="preserve"/>
        </is>
      </c>
      <c r="V797" s="0" t="inlineStr">
        <is>
          <t xml:space="preserve"/>
        </is>
      </c>
      <c r="W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 t="inlineStr">
        <is>
          <t xml:space="preserve"/>
        </is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>
        <f>IF(E798="","",IF(OR(ISNUMBER(SEARCH("狼",E798)),ISNUMBER(SEARCH("石像鬼",E798)),ISNUMBER(SEARCH("恶灵骑士",E798)),ISNUMBER(SEARCH("黑蝙蝠",E798)),ISNUMBER(SEARCH("血月使徒",E798))),"werewolves","villagers"))</f>
      </c>
      <c r="M798" s="0">
        <f>IF(F798="","",IF(ROUND(F798,2)=5,"win","loss"))</f>
      </c>
      <c r="N798" s="0" t="inlineStr">
        <is>
          <t xml:space="preserve"/>
        </is>
      </c>
      <c r="O798" s="0" t="inlineStr">
        <is>
          <t xml:space="preserve"/>
        </is>
      </c>
      <c r="P798" s="0" t="inlineStr">
        <is>
          <t xml:space="preserve"/>
        </is>
      </c>
      <c r="Q798" s="0" t="inlineStr">
        <is>
          <t xml:space="preserve"/>
        </is>
      </c>
      <c r="R798" s="0">
        <f>IF(D798="","",IFERROR(LOOKUP(2,1/(($D$2:$D$1001=D798)*($M$2:$M$1001="win")),$L$2:$L$1001),""))</f>
      </c>
      <c r="S798" s="0" t="inlineStr">
        <is>
          <t xml:space="preserve"/>
        </is>
      </c>
      <c r="T798" s="0" t="inlineStr">
        <is>
          <t xml:space="preserve"/>
        </is>
      </c>
      <c r="U798" s="0" t="inlineStr">
        <is>
          <t xml:space="preserve"/>
        </is>
      </c>
      <c r="V798" s="0" t="inlineStr">
        <is>
          <t xml:space="preserve"/>
        </is>
      </c>
      <c r="W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 t="inlineStr">
        <is>
          <t xml:space="preserve"/>
        </is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>
        <f>IF(E799="","",IF(OR(ISNUMBER(SEARCH("狼",E799)),ISNUMBER(SEARCH("石像鬼",E799)),ISNUMBER(SEARCH("恶灵骑士",E799)),ISNUMBER(SEARCH("黑蝙蝠",E799)),ISNUMBER(SEARCH("血月使徒",E799))),"werewolves","villagers"))</f>
      </c>
      <c r="M799" s="0">
        <f>IF(F799="","",IF(ROUND(F799,2)=5,"win","loss"))</f>
      </c>
      <c r="N799" s="0" t="inlineStr">
        <is>
          <t xml:space="preserve"/>
        </is>
      </c>
      <c r="O799" s="0" t="inlineStr">
        <is>
          <t xml:space="preserve"/>
        </is>
      </c>
      <c r="P799" s="0" t="inlineStr">
        <is>
          <t xml:space="preserve"/>
        </is>
      </c>
      <c r="Q799" s="0" t="inlineStr">
        <is>
          <t xml:space="preserve"/>
        </is>
      </c>
      <c r="R799" s="0">
        <f>IF(D799="","",IFERROR(LOOKUP(2,1/(($D$2:$D$1001=D799)*($M$2:$M$1001="win")),$L$2:$L$1001),""))</f>
      </c>
      <c r="S799" s="0" t="inlineStr">
        <is>
          <t xml:space="preserve"/>
        </is>
      </c>
      <c r="T799" s="0" t="inlineStr">
        <is>
          <t xml:space="preserve"/>
        </is>
      </c>
      <c r="U799" s="0" t="inlineStr">
        <is>
          <t xml:space="preserve"/>
        </is>
      </c>
      <c r="V799" s="0" t="inlineStr">
        <is>
          <t xml:space="preserve"/>
        </is>
      </c>
      <c r="W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 t="inlineStr">
        <is>
          <t xml:space="preserve"/>
        </is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>
        <f>IF(E800="","",IF(OR(ISNUMBER(SEARCH("狼",E800)),ISNUMBER(SEARCH("石像鬼",E800)),ISNUMBER(SEARCH("恶灵骑士",E800)),ISNUMBER(SEARCH("黑蝙蝠",E800)),ISNUMBER(SEARCH("血月使徒",E800))),"werewolves","villagers"))</f>
      </c>
      <c r="M800" s="0">
        <f>IF(F800="","",IF(ROUND(F800,2)=5,"win","loss"))</f>
      </c>
      <c r="N800" s="0" t="inlineStr">
        <is>
          <t xml:space="preserve"/>
        </is>
      </c>
      <c r="O800" s="0" t="inlineStr">
        <is>
          <t xml:space="preserve"/>
        </is>
      </c>
      <c r="P800" s="0" t="inlineStr">
        <is>
          <t xml:space="preserve"/>
        </is>
      </c>
      <c r="Q800" s="0" t="inlineStr">
        <is>
          <t xml:space="preserve"/>
        </is>
      </c>
      <c r="R800" s="0">
        <f>IF(D800="","",IFERROR(LOOKUP(2,1/(($D$2:$D$1001=D800)*($M$2:$M$1001="win")),$L$2:$L$1001),""))</f>
      </c>
      <c r="S800" s="0" t="inlineStr">
        <is>
          <t xml:space="preserve"/>
        </is>
      </c>
      <c r="T800" s="0" t="inlineStr">
        <is>
          <t xml:space="preserve"/>
        </is>
      </c>
      <c r="U800" s="0" t="inlineStr">
        <is>
          <t xml:space="preserve"/>
        </is>
      </c>
      <c r="V800" s="0" t="inlineStr">
        <is>
          <t xml:space="preserve"/>
        </is>
      </c>
      <c r="W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 t="inlineStr">
        <is>
          <t xml:space="preserve"/>
        </is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>
        <f>IF(E801="","",IF(OR(ISNUMBER(SEARCH("狼",E801)),ISNUMBER(SEARCH("石像鬼",E801)),ISNUMBER(SEARCH("恶灵骑士",E801)),ISNUMBER(SEARCH("黑蝙蝠",E801)),ISNUMBER(SEARCH("血月使徒",E801))),"werewolves","villagers"))</f>
      </c>
      <c r="M801" s="0">
        <f>IF(F801="","",IF(ROUND(F801,2)=5,"win","loss"))</f>
      </c>
      <c r="N801" s="0" t="inlineStr">
        <is>
          <t xml:space="preserve"/>
        </is>
      </c>
      <c r="O801" s="0" t="inlineStr">
        <is>
          <t xml:space="preserve"/>
        </is>
      </c>
      <c r="P801" s="0" t="inlineStr">
        <is>
          <t xml:space="preserve"/>
        </is>
      </c>
      <c r="Q801" s="0" t="inlineStr">
        <is>
          <t xml:space="preserve"/>
        </is>
      </c>
      <c r="R801" s="0">
        <f>IF(D801="","",IFERROR(LOOKUP(2,1/(($D$2:$D$1001=D801)*($M$2:$M$1001="win")),$L$2:$L$1001),""))</f>
      </c>
      <c r="S801" s="0" t="inlineStr">
        <is>
          <t xml:space="preserve"/>
        </is>
      </c>
      <c r="T801" s="0" t="inlineStr">
        <is>
          <t xml:space="preserve"/>
        </is>
      </c>
      <c r="U801" s="0" t="inlineStr">
        <is>
          <t xml:space="preserve"/>
        </is>
      </c>
      <c r="V801" s="0" t="inlineStr">
        <is>
          <t xml:space="preserve"/>
        </is>
      </c>
      <c r="W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 t="inlineStr">
        <is>
          <t xml:space="preserve"/>
        </is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>
        <f>IF(E802="","",IF(OR(ISNUMBER(SEARCH("狼",E802)),ISNUMBER(SEARCH("石像鬼",E802)),ISNUMBER(SEARCH("恶灵骑士",E802)),ISNUMBER(SEARCH("黑蝙蝠",E802)),ISNUMBER(SEARCH("血月使徒",E802))),"werewolves","villagers"))</f>
      </c>
      <c r="M802" s="0">
        <f>IF(F802="","",IF(ROUND(F802,2)=5,"win","loss"))</f>
      </c>
      <c r="N802" s="0" t="inlineStr">
        <is>
          <t xml:space="preserve"/>
        </is>
      </c>
      <c r="O802" s="0" t="inlineStr">
        <is>
          <t xml:space="preserve"/>
        </is>
      </c>
      <c r="P802" s="0" t="inlineStr">
        <is>
          <t xml:space="preserve"/>
        </is>
      </c>
      <c r="Q802" s="0" t="inlineStr">
        <is>
          <t xml:space="preserve"/>
        </is>
      </c>
      <c r="R802" s="0">
        <f>IF(D802="","",IFERROR(LOOKUP(2,1/(($D$2:$D$1001=D802)*($M$2:$M$1001="win")),$L$2:$L$1001),""))</f>
      </c>
      <c r="S802" s="0" t="inlineStr">
        <is>
          <t xml:space="preserve"/>
        </is>
      </c>
      <c r="T802" s="0" t="inlineStr">
        <is>
          <t xml:space="preserve"/>
        </is>
      </c>
      <c r="U802" s="0" t="inlineStr">
        <is>
          <t xml:space="preserve"/>
        </is>
      </c>
      <c r="V802" s="0" t="inlineStr">
        <is>
          <t xml:space="preserve"/>
        </is>
      </c>
      <c r="W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>
        <f>IF(E803="","",IF(OR(ISNUMBER(SEARCH("狼",E803)),ISNUMBER(SEARCH("石像鬼",E803)),ISNUMBER(SEARCH("恶灵骑士",E803)),ISNUMBER(SEARCH("黑蝙蝠",E803)),ISNUMBER(SEARCH("血月使徒",E803))),"werewolves","villagers"))</f>
      </c>
      <c r="M803" s="0">
        <f>IF(F803="","",IF(ROUND(F803,2)=5,"win","loss"))</f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>
        <f>IF(D803="","",IFERROR(LOOKUP(2,1/(($D$2:$D$1001=D803)*($M$2:$M$1001="win")),$L$2:$L$1001),""))</f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 t="inlineStr">
        <is>
          <t xml:space="preserve"/>
        </is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>
        <f>IF(E804="","",IF(OR(ISNUMBER(SEARCH("狼",E804)),ISNUMBER(SEARCH("石像鬼",E804)),ISNUMBER(SEARCH("恶灵骑士",E804)),ISNUMBER(SEARCH("黑蝙蝠",E804)),ISNUMBER(SEARCH("血月使徒",E804))),"werewolves","villagers"))</f>
      </c>
      <c r="M804" s="0">
        <f>IF(F804="","",IF(ROUND(F804,2)=5,"win","loss"))</f>
      </c>
      <c r="N804" s="0" t="inlineStr">
        <is>
          <t xml:space="preserve"/>
        </is>
      </c>
      <c r="O804" s="0" t="inlineStr">
        <is>
          <t xml:space="preserve"/>
        </is>
      </c>
      <c r="P804" s="0" t="inlineStr">
        <is>
          <t xml:space="preserve"/>
        </is>
      </c>
      <c r="Q804" s="0" t="inlineStr">
        <is>
          <t xml:space="preserve"/>
        </is>
      </c>
      <c r="R804" s="0">
        <f>IF(D804="","",IFERROR(LOOKUP(2,1/(($D$2:$D$1001=D804)*($M$2:$M$1001="win")),$L$2:$L$1001),""))</f>
      </c>
      <c r="S804" s="0" t="inlineStr">
        <is>
          <t xml:space="preserve"/>
        </is>
      </c>
      <c r="T804" s="0" t="inlineStr">
        <is>
          <t xml:space="preserve"/>
        </is>
      </c>
      <c r="U804" s="0" t="inlineStr">
        <is>
          <t xml:space="preserve"/>
        </is>
      </c>
      <c r="V804" s="0" t="inlineStr">
        <is>
          <t xml:space="preserve"/>
        </is>
      </c>
      <c r="W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>
        <f>IF(E805="","",IF(OR(ISNUMBER(SEARCH("狼",E805)),ISNUMBER(SEARCH("石像鬼",E805)),ISNUMBER(SEARCH("恶灵骑士",E805)),ISNUMBER(SEARCH("黑蝙蝠",E805)),ISNUMBER(SEARCH("血月使徒",E805))),"werewolves","villagers"))</f>
      </c>
      <c r="M805" s="0">
        <f>IF(F805="","",IF(ROUND(F805,2)=5,"win","loss"))</f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>
        <f>IF(D805="","",IFERROR(LOOKUP(2,1/(($D$2:$D$1001=D805)*($M$2:$M$1001="win")),$L$2:$L$1001),""))</f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>
        <f>IF(E806="","",IF(OR(ISNUMBER(SEARCH("狼",E806)),ISNUMBER(SEARCH("石像鬼",E806)),ISNUMBER(SEARCH("恶灵骑士",E806)),ISNUMBER(SEARCH("黑蝙蝠",E806)),ISNUMBER(SEARCH("血月使徒",E806))),"werewolves","villagers"))</f>
      </c>
      <c r="M806" s="0">
        <f>IF(F806="","",IF(ROUND(F806,2)=5,"win","loss"))</f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>
        <f>IF(D806="","",IFERROR(LOOKUP(2,1/(($D$2:$D$1001=D806)*($M$2:$M$1001="win")),$L$2:$L$1001),""))</f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 t="inlineStr">
        <is>
          <t xml:space="preserve"/>
        </is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>
        <f>IF(E807="","",IF(OR(ISNUMBER(SEARCH("狼",E807)),ISNUMBER(SEARCH("石像鬼",E807)),ISNUMBER(SEARCH("恶灵骑士",E807)),ISNUMBER(SEARCH("黑蝙蝠",E807)),ISNUMBER(SEARCH("血月使徒",E807))),"werewolves","villagers"))</f>
      </c>
      <c r="M807" s="0">
        <f>IF(F807="","",IF(ROUND(F807,2)=5,"win","loss"))</f>
      </c>
      <c r="N807" s="0" t="inlineStr">
        <is>
          <t xml:space="preserve"/>
        </is>
      </c>
      <c r="O807" s="0" t="inlineStr">
        <is>
          <t xml:space="preserve"/>
        </is>
      </c>
      <c r="P807" s="0" t="inlineStr">
        <is>
          <t xml:space="preserve"/>
        </is>
      </c>
      <c r="Q807" s="0" t="inlineStr">
        <is>
          <t xml:space="preserve"/>
        </is>
      </c>
      <c r="R807" s="0">
        <f>IF(D807="","",IFERROR(LOOKUP(2,1/(($D$2:$D$1001=D807)*($M$2:$M$1001="win")),$L$2:$L$1001),""))</f>
      </c>
      <c r="S807" s="0" t="inlineStr">
        <is>
          <t xml:space="preserve"/>
        </is>
      </c>
      <c r="T807" s="0" t="inlineStr">
        <is>
          <t xml:space="preserve"/>
        </is>
      </c>
      <c r="U807" s="0" t="inlineStr">
        <is>
          <t xml:space="preserve"/>
        </is>
      </c>
      <c r="V807" s="0" t="inlineStr">
        <is>
          <t xml:space="preserve"/>
        </is>
      </c>
      <c r="W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 t="inlineStr">
        <is>
          <t xml:space="preserve"/>
        </is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>
        <f>IF(E808="","",IF(OR(ISNUMBER(SEARCH("狼",E808)),ISNUMBER(SEARCH("石像鬼",E808)),ISNUMBER(SEARCH("恶灵骑士",E808)),ISNUMBER(SEARCH("黑蝙蝠",E808)),ISNUMBER(SEARCH("血月使徒",E808))),"werewolves","villagers"))</f>
      </c>
      <c r="M808" s="0">
        <f>IF(F808="","",IF(ROUND(F808,2)=5,"win","loss"))</f>
      </c>
      <c r="N808" s="0" t="inlineStr">
        <is>
          <t xml:space="preserve"/>
        </is>
      </c>
      <c r="O808" s="0" t="inlineStr">
        <is>
          <t xml:space="preserve"/>
        </is>
      </c>
      <c r="P808" s="0" t="inlineStr">
        <is>
          <t xml:space="preserve"/>
        </is>
      </c>
      <c r="Q808" s="0" t="inlineStr">
        <is>
          <t xml:space="preserve"/>
        </is>
      </c>
      <c r="R808" s="0">
        <f>IF(D808="","",IFERROR(LOOKUP(2,1/(($D$2:$D$1001=D808)*($M$2:$M$1001="win")),$L$2:$L$1001),""))</f>
      </c>
      <c r="S808" s="0" t="inlineStr">
        <is>
          <t xml:space="preserve"/>
        </is>
      </c>
      <c r="T808" s="0" t="inlineStr">
        <is>
          <t xml:space="preserve"/>
        </is>
      </c>
      <c r="U808" s="0" t="inlineStr">
        <is>
          <t xml:space="preserve"/>
        </is>
      </c>
      <c r="V808" s="0" t="inlineStr">
        <is>
          <t xml:space="preserve"/>
        </is>
      </c>
      <c r="W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>
        <f>IF(E809="","",IF(OR(ISNUMBER(SEARCH("狼",E809)),ISNUMBER(SEARCH("石像鬼",E809)),ISNUMBER(SEARCH("恶灵骑士",E809)),ISNUMBER(SEARCH("黑蝙蝠",E809)),ISNUMBER(SEARCH("血月使徒",E809))),"werewolves","villagers"))</f>
      </c>
      <c r="M809" s="0">
        <f>IF(F809="","",IF(ROUND(F809,2)=5,"win","loss"))</f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>
        <f>IF(D809="","",IFERROR(LOOKUP(2,1/(($D$2:$D$1001=D809)*($M$2:$M$1001="win")),$L$2:$L$1001),""))</f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 t="inlineStr">
        <is>
          <t xml:space="preserve"/>
        </is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>
        <f>IF(E810="","",IF(OR(ISNUMBER(SEARCH("狼",E810)),ISNUMBER(SEARCH("石像鬼",E810)),ISNUMBER(SEARCH("恶灵骑士",E810)),ISNUMBER(SEARCH("黑蝙蝠",E810)),ISNUMBER(SEARCH("血月使徒",E810))),"werewolves","villagers"))</f>
      </c>
      <c r="M810" s="0">
        <f>IF(F810="","",IF(ROUND(F810,2)=5,"win","loss"))</f>
      </c>
      <c r="N810" s="0" t="inlineStr">
        <is>
          <t xml:space="preserve"/>
        </is>
      </c>
      <c r="O810" s="0" t="inlineStr">
        <is>
          <t xml:space="preserve"/>
        </is>
      </c>
      <c r="P810" s="0" t="inlineStr">
        <is>
          <t xml:space="preserve"/>
        </is>
      </c>
      <c r="Q810" s="0" t="inlineStr">
        <is>
          <t xml:space="preserve"/>
        </is>
      </c>
      <c r="R810" s="0">
        <f>IF(D810="","",IFERROR(LOOKUP(2,1/(($D$2:$D$1001=D810)*($M$2:$M$1001="win")),$L$2:$L$1001),""))</f>
      </c>
      <c r="S810" s="0" t="inlineStr">
        <is>
          <t xml:space="preserve"/>
        </is>
      </c>
      <c r="T810" s="0" t="inlineStr">
        <is>
          <t xml:space="preserve"/>
        </is>
      </c>
      <c r="U810" s="0" t="inlineStr">
        <is>
          <t xml:space="preserve"/>
        </is>
      </c>
      <c r="V810" s="0" t="inlineStr">
        <is>
          <t xml:space="preserve"/>
        </is>
      </c>
      <c r="W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 t="inlineStr">
        <is>
          <t xml:space="preserve"/>
        </is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>
        <f>IF(E811="","",IF(OR(ISNUMBER(SEARCH("狼",E811)),ISNUMBER(SEARCH("石像鬼",E811)),ISNUMBER(SEARCH("恶灵骑士",E811)),ISNUMBER(SEARCH("黑蝙蝠",E811)),ISNUMBER(SEARCH("血月使徒",E811))),"werewolves","villagers"))</f>
      </c>
      <c r="M811" s="0">
        <f>IF(F811="","",IF(ROUND(F811,2)=5,"win","loss"))</f>
      </c>
      <c r="N811" s="0" t="inlineStr">
        <is>
          <t xml:space="preserve"/>
        </is>
      </c>
      <c r="O811" s="0" t="inlineStr">
        <is>
          <t xml:space="preserve"/>
        </is>
      </c>
      <c r="P811" s="0" t="inlineStr">
        <is>
          <t xml:space="preserve"/>
        </is>
      </c>
      <c r="Q811" s="0" t="inlineStr">
        <is>
          <t xml:space="preserve"/>
        </is>
      </c>
      <c r="R811" s="0">
        <f>IF(D811="","",IFERROR(LOOKUP(2,1/(($D$2:$D$1001=D811)*($M$2:$M$1001="win")),$L$2:$L$1001),""))</f>
      </c>
      <c r="S811" s="0" t="inlineStr">
        <is>
          <t xml:space="preserve"/>
        </is>
      </c>
      <c r="T811" s="0" t="inlineStr">
        <is>
          <t xml:space="preserve"/>
        </is>
      </c>
      <c r="U811" s="0" t="inlineStr">
        <is>
          <t xml:space="preserve"/>
        </is>
      </c>
      <c r="V811" s="0" t="inlineStr">
        <is>
          <t xml:space="preserve"/>
        </is>
      </c>
      <c r="W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 t="inlineStr">
        <is>
          <t xml:space="preserve"/>
        </is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>
        <f>IF(E812="","",IF(OR(ISNUMBER(SEARCH("狼",E812)),ISNUMBER(SEARCH("石像鬼",E812)),ISNUMBER(SEARCH("恶灵骑士",E812)),ISNUMBER(SEARCH("黑蝙蝠",E812)),ISNUMBER(SEARCH("血月使徒",E812))),"werewolves","villagers"))</f>
      </c>
      <c r="M812" s="0">
        <f>IF(F812="","",IF(ROUND(F812,2)=5,"win","loss"))</f>
      </c>
      <c r="N812" s="0" t="inlineStr">
        <is>
          <t xml:space="preserve"/>
        </is>
      </c>
      <c r="O812" s="0" t="inlineStr">
        <is>
          <t xml:space="preserve"/>
        </is>
      </c>
      <c r="P812" s="0" t="inlineStr">
        <is>
          <t xml:space="preserve"/>
        </is>
      </c>
      <c r="Q812" s="0" t="inlineStr">
        <is>
          <t xml:space="preserve"/>
        </is>
      </c>
      <c r="R812" s="0">
        <f>IF(D812="","",IFERROR(LOOKUP(2,1/(($D$2:$D$1001=D812)*($M$2:$M$1001="win")),$L$2:$L$1001),""))</f>
      </c>
      <c r="S812" s="0" t="inlineStr">
        <is>
          <t xml:space="preserve"/>
        </is>
      </c>
      <c r="T812" s="0" t="inlineStr">
        <is>
          <t xml:space="preserve"/>
        </is>
      </c>
      <c r="U812" s="0" t="inlineStr">
        <is>
          <t xml:space="preserve"/>
        </is>
      </c>
      <c r="V812" s="0" t="inlineStr">
        <is>
          <t xml:space="preserve"/>
        </is>
      </c>
      <c r="W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>
        <f>IF(E813="","",IF(OR(ISNUMBER(SEARCH("狼",E813)),ISNUMBER(SEARCH("石像鬼",E813)),ISNUMBER(SEARCH("恶灵骑士",E813)),ISNUMBER(SEARCH("黑蝙蝠",E813)),ISNUMBER(SEARCH("血月使徒",E813))),"werewolves","villagers"))</f>
      </c>
      <c r="M813" s="0">
        <f>IF(F813="","",IF(ROUND(F813,2)=5,"win","loss"))</f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>
        <f>IF(D813="","",IFERROR(LOOKUP(2,1/(($D$2:$D$1001=D813)*($M$2:$M$1001="win")),$L$2:$L$1001),""))</f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>
        <f>IF(E814="","",IF(OR(ISNUMBER(SEARCH("狼",E814)),ISNUMBER(SEARCH("石像鬼",E814)),ISNUMBER(SEARCH("恶灵骑士",E814)),ISNUMBER(SEARCH("黑蝙蝠",E814)),ISNUMBER(SEARCH("血月使徒",E814))),"werewolves","villagers"))</f>
      </c>
      <c r="M814" s="0">
        <f>IF(F814="","",IF(ROUND(F814,2)=5,"win","loss"))</f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>
        <f>IF(D814="","",IFERROR(LOOKUP(2,1/(($D$2:$D$1001=D814)*($M$2:$M$1001="win")),$L$2:$L$1001),""))</f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 t="inlineStr">
        <is>
          <t xml:space="preserve"/>
        </is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>
        <f>IF(E815="","",IF(OR(ISNUMBER(SEARCH("狼",E815)),ISNUMBER(SEARCH("石像鬼",E815)),ISNUMBER(SEARCH("恶灵骑士",E815)),ISNUMBER(SEARCH("黑蝙蝠",E815)),ISNUMBER(SEARCH("血月使徒",E815))),"werewolves","villagers"))</f>
      </c>
      <c r="M815" s="0">
        <f>IF(F815="","",IF(ROUND(F815,2)=5,"win","loss"))</f>
      </c>
      <c r="N815" s="0" t="inlineStr">
        <is>
          <t xml:space="preserve"/>
        </is>
      </c>
      <c r="O815" s="0" t="inlineStr">
        <is>
          <t xml:space="preserve"/>
        </is>
      </c>
      <c r="P815" s="0" t="inlineStr">
        <is>
          <t xml:space="preserve"/>
        </is>
      </c>
      <c r="Q815" s="0" t="inlineStr">
        <is>
          <t xml:space="preserve"/>
        </is>
      </c>
      <c r="R815" s="0">
        <f>IF(D815="","",IFERROR(LOOKUP(2,1/(($D$2:$D$1001=D815)*($M$2:$M$1001="win")),$L$2:$L$1001),""))</f>
      </c>
      <c r="S815" s="0" t="inlineStr">
        <is>
          <t xml:space="preserve"/>
        </is>
      </c>
      <c r="T815" s="0" t="inlineStr">
        <is>
          <t xml:space="preserve"/>
        </is>
      </c>
      <c r="U815" s="0" t="inlineStr">
        <is>
          <t xml:space="preserve"/>
        </is>
      </c>
      <c r="V815" s="0" t="inlineStr">
        <is>
          <t xml:space="preserve"/>
        </is>
      </c>
      <c r="W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 t="inlineStr">
        <is>
          <t xml:space="preserve"/>
        </is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>
        <f>IF(E816="","",IF(OR(ISNUMBER(SEARCH("狼",E816)),ISNUMBER(SEARCH("石像鬼",E816)),ISNUMBER(SEARCH("恶灵骑士",E816)),ISNUMBER(SEARCH("黑蝙蝠",E816)),ISNUMBER(SEARCH("血月使徒",E816))),"werewolves","villagers"))</f>
      </c>
      <c r="M816" s="0">
        <f>IF(F816="","",IF(ROUND(F816,2)=5,"win","loss"))</f>
      </c>
      <c r="N816" s="0" t="inlineStr">
        <is>
          <t xml:space="preserve"/>
        </is>
      </c>
      <c r="O816" s="0" t="inlineStr">
        <is>
          <t xml:space="preserve"/>
        </is>
      </c>
      <c r="P816" s="0" t="inlineStr">
        <is>
          <t xml:space="preserve"/>
        </is>
      </c>
      <c r="Q816" s="0" t="inlineStr">
        <is>
          <t xml:space="preserve"/>
        </is>
      </c>
      <c r="R816" s="0">
        <f>IF(D816="","",IFERROR(LOOKUP(2,1/(($D$2:$D$1001=D816)*($M$2:$M$1001="win")),$L$2:$L$1001),""))</f>
      </c>
      <c r="S816" s="0" t="inlineStr">
        <is>
          <t xml:space="preserve"/>
        </is>
      </c>
      <c r="T816" s="0" t="inlineStr">
        <is>
          <t xml:space="preserve"/>
        </is>
      </c>
      <c r="U816" s="0" t="inlineStr">
        <is>
          <t xml:space="preserve"/>
        </is>
      </c>
      <c r="V816" s="0" t="inlineStr">
        <is>
          <t xml:space="preserve"/>
        </is>
      </c>
      <c r="W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 t="inlineStr">
        <is>
          <t xml:space="preserve"/>
        </is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>
        <f>IF(E817="","",IF(OR(ISNUMBER(SEARCH("狼",E817)),ISNUMBER(SEARCH("石像鬼",E817)),ISNUMBER(SEARCH("恶灵骑士",E817)),ISNUMBER(SEARCH("黑蝙蝠",E817)),ISNUMBER(SEARCH("血月使徒",E817))),"werewolves","villagers"))</f>
      </c>
      <c r="M817" s="0">
        <f>IF(F817="","",IF(ROUND(F817,2)=5,"win","loss"))</f>
      </c>
      <c r="N817" s="0" t="inlineStr">
        <is>
          <t xml:space="preserve"/>
        </is>
      </c>
      <c r="O817" s="0" t="inlineStr">
        <is>
          <t xml:space="preserve"/>
        </is>
      </c>
      <c r="P817" s="0" t="inlineStr">
        <is>
          <t xml:space="preserve"/>
        </is>
      </c>
      <c r="Q817" s="0" t="inlineStr">
        <is>
          <t xml:space="preserve"/>
        </is>
      </c>
      <c r="R817" s="0">
        <f>IF(D817="","",IFERROR(LOOKUP(2,1/(($D$2:$D$1001=D817)*($M$2:$M$1001="win")),$L$2:$L$1001),""))</f>
      </c>
      <c r="S817" s="0" t="inlineStr">
        <is>
          <t xml:space="preserve"/>
        </is>
      </c>
      <c r="T817" s="0" t="inlineStr">
        <is>
          <t xml:space="preserve"/>
        </is>
      </c>
      <c r="U817" s="0" t="inlineStr">
        <is>
          <t xml:space="preserve"/>
        </is>
      </c>
      <c r="V817" s="0" t="inlineStr">
        <is>
          <t xml:space="preserve"/>
        </is>
      </c>
      <c r="W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 t="inlineStr">
        <is>
          <t xml:space="preserve"/>
        </is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>
        <f>IF(E818="","",IF(OR(ISNUMBER(SEARCH("狼",E818)),ISNUMBER(SEARCH("石像鬼",E818)),ISNUMBER(SEARCH("恶灵骑士",E818)),ISNUMBER(SEARCH("黑蝙蝠",E818)),ISNUMBER(SEARCH("血月使徒",E818))),"werewolves","villagers"))</f>
      </c>
      <c r="M818" s="0">
        <f>IF(F818="","",IF(ROUND(F818,2)=5,"win","loss"))</f>
      </c>
      <c r="N818" s="0" t="inlineStr">
        <is>
          <t xml:space="preserve"/>
        </is>
      </c>
      <c r="O818" s="0" t="inlineStr">
        <is>
          <t xml:space="preserve"/>
        </is>
      </c>
      <c r="P818" s="0" t="inlineStr">
        <is>
          <t xml:space="preserve"/>
        </is>
      </c>
      <c r="Q818" s="0" t="inlineStr">
        <is>
          <t xml:space="preserve"/>
        </is>
      </c>
      <c r="R818" s="0">
        <f>IF(D818="","",IFERROR(LOOKUP(2,1/(($D$2:$D$1001=D818)*($M$2:$M$1001="win")),$L$2:$L$1001),""))</f>
      </c>
      <c r="S818" s="0" t="inlineStr">
        <is>
          <t xml:space="preserve"/>
        </is>
      </c>
      <c r="T818" s="0" t="inlineStr">
        <is>
          <t xml:space="preserve"/>
        </is>
      </c>
      <c r="U818" s="0" t="inlineStr">
        <is>
          <t xml:space="preserve"/>
        </is>
      </c>
      <c r="V818" s="0" t="inlineStr">
        <is>
          <t xml:space="preserve"/>
        </is>
      </c>
      <c r="W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 t="inlineStr">
        <is>
          <t xml:space="preserve"/>
        </is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>
        <f>IF(E819="","",IF(OR(ISNUMBER(SEARCH("狼",E819)),ISNUMBER(SEARCH("石像鬼",E819)),ISNUMBER(SEARCH("恶灵骑士",E819)),ISNUMBER(SEARCH("黑蝙蝠",E819)),ISNUMBER(SEARCH("血月使徒",E819))),"werewolves","villagers"))</f>
      </c>
      <c r="M819" s="0">
        <f>IF(F819="","",IF(ROUND(F819,2)=5,"win","loss"))</f>
      </c>
      <c r="N819" s="0" t="inlineStr">
        <is>
          <t xml:space="preserve"/>
        </is>
      </c>
      <c r="O819" s="0" t="inlineStr">
        <is>
          <t xml:space="preserve"/>
        </is>
      </c>
      <c r="P819" s="0" t="inlineStr">
        <is>
          <t xml:space="preserve"/>
        </is>
      </c>
      <c r="Q819" s="0" t="inlineStr">
        <is>
          <t xml:space="preserve"/>
        </is>
      </c>
      <c r="R819" s="0">
        <f>IF(D819="","",IFERROR(LOOKUP(2,1/(($D$2:$D$1001=D819)*($M$2:$M$1001="win")),$L$2:$L$1001),""))</f>
      </c>
      <c r="S819" s="0" t="inlineStr">
        <is>
          <t xml:space="preserve"/>
        </is>
      </c>
      <c r="T819" s="0" t="inlineStr">
        <is>
          <t xml:space="preserve"/>
        </is>
      </c>
      <c r="U819" s="0" t="inlineStr">
        <is>
          <t xml:space="preserve"/>
        </is>
      </c>
      <c r="V819" s="0" t="inlineStr">
        <is>
          <t xml:space="preserve"/>
        </is>
      </c>
      <c r="W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 t="inlineStr">
        <is>
          <t xml:space="preserve"/>
        </is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>
        <f>IF(E820="","",IF(OR(ISNUMBER(SEARCH("狼",E820)),ISNUMBER(SEARCH("石像鬼",E820)),ISNUMBER(SEARCH("恶灵骑士",E820)),ISNUMBER(SEARCH("黑蝙蝠",E820)),ISNUMBER(SEARCH("血月使徒",E820))),"werewolves","villagers"))</f>
      </c>
      <c r="M820" s="0">
        <f>IF(F820="","",IF(ROUND(F820,2)=5,"win","loss"))</f>
      </c>
      <c r="N820" s="0" t="inlineStr">
        <is>
          <t xml:space="preserve"/>
        </is>
      </c>
      <c r="O820" s="0" t="inlineStr">
        <is>
          <t xml:space="preserve"/>
        </is>
      </c>
      <c r="P820" s="0" t="inlineStr">
        <is>
          <t xml:space="preserve"/>
        </is>
      </c>
      <c r="Q820" s="0" t="inlineStr">
        <is>
          <t xml:space="preserve"/>
        </is>
      </c>
      <c r="R820" s="0">
        <f>IF(D820="","",IFERROR(LOOKUP(2,1/(($D$2:$D$1001=D820)*($M$2:$M$1001="win")),$L$2:$L$1001),""))</f>
      </c>
      <c r="S820" s="0" t="inlineStr">
        <is>
          <t xml:space="preserve"/>
        </is>
      </c>
      <c r="T820" s="0" t="inlineStr">
        <is>
          <t xml:space="preserve"/>
        </is>
      </c>
      <c r="U820" s="0" t="inlineStr">
        <is>
          <t xml:space="preserve"/>
        </is>
      </c>
      <c r="V820" s="0" t="inlineStr">
        <is>
          <t xml:space="preserve"/>
        </is>
      </c>
      <c r="W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 t="inlineStr">
        <is>
          <t xml:space="preserve"/>
        </is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>
        <f>IF(E821="","",IF(OR(ISNUMBER(SEARCH("狼",E821)),ISNUMBER(SEARCH("石像鬼",E821)),ISNUMBER(SEARCH("恶灵骑士",E821)),ISNUMBER(SEARCH("黑蝙蝠",E821)),ISNUMBER(SEARCH("血月使徒",E821))),"werewolves","villagers"))</f>
      </c>
      <c r="M821" s="0">
        <f>IF(F821="","",IF(ROUND(F821,2)=5,"win","loss"))</f>
      </c>
      <c r="N821" s="0" t="inlineStr">
        <is>
          <t xml:space="preserve"/>
        </is>
      </c>
      <c r="O821" s="0" t="inlineStr">
        <is>
          <t xml:space="preserve"/>
        </is>
      </c>
      <c r="P821" s="0" t="inlineStr">
        <is>
          <t xml:space="preserve"/>
        </is>
      </c>
      <c r="Q821" s="0" t="inlineStr">
        <is>
          <t xml:space="preserve"/>
        </is>
      </c>
      <c r="R821" s="0">
        <f>IF(D821="","",IFERROR(LOOKUP(2,1/(($D$2:$D$1001=D821)*($M$2:$M$1001="win")),$L$2:$L$1001),""))</f>
      </c>
      <c r="S821" s="0" t="inlineStr">
        <is>
          <t xml:space="preserve"/>
        </is>
      </c>
      <c r="T821" s="0" t="inlineStr">
        <is>
          <t xml:space="preserve"/>
        </is>
      </c>
      <c r="U821" s="0" t="inlineStr">
        <is>
          <t xml:space="preserve"/>
        </is>
      </c>
      <c r="V821" s="0" t="inlineStr">
        <is>
          <t xml:space="preserve"/>
        </is>
      </c>
      <c r="W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 t="inlineStr">
        <is>
          <t xml:space="preserve"/>
        </is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>
        <f>IF(E822="","",IF(OR(ISNUMBER(SEARCH("狼",E822)),ISNUMBER(SEARCH("石像鬼",E822)),ISNUMBER(SEARCH("恶灵骑士",E822)),ISNUMBER(SEARCH("黑蝙蝠",E822)),ISNUMBER(SEARCH("血月使徒",E822))),"werewolves","villagers"))</f>
      </c>
      <c r="M822" s="0">
        <f>IF(F822="","",IF(ROUND(F822,2)=5,"win","loss"))</f>
      </c>
      <c r="N822" s="0" t="inlineStr">
        <is>
          <t xml:space="preserve"/>
        </is>
      </c>
      <c r="O822" s="0" t="inlineStr">
        <is>
          <t xml:space="preserve"/>
        </is>
      </c>
      <c r="P822" s="0" t="inlineStr">
        <is>
          <t xml:space="preserve"/>
        </is>
      </c>
      <c r="Q822" s="0" t="inlineStr">
        <is>
          <t xml:space="preserve"/>
        </is>
      </c>
      <c r="R822" s="0">
        <f>IF(D822="","",IFERROR(LOOKUP(2,1/(($D$2:$D$1001=D822)*($M$2:$M$1001="win")),$L$2:$L$1001),""))</f>
      </c>
      <c r="S822" s="0" t="inlineStr">
        <is>
          <t xml:space="preserve"/>
        </is>
      </c>
      <c r="T822" s="0" t="inlineStr">
        <is>
          <t xml:space="preserve"/>
        </is>
      </c>
      <c r="U822" s="0" t="inlineStr">
        <is>
          <t xml:space="preserve"/>
        </is>
      </c>
      <c r="V822" s="0" t="inlineStr">
        <is>
          <t xml:space="preserve"/>
        </is>
      </c>
      <c r="W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 t="inlineStr">
        <is>
          <t xml:space="preserve"/>
        </is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>
        <f>IF(E823="","",IF(OR(ISNUMBER(SEARCH("狼",E823)),ISNUMBER(SEARCH("石像鬼",E823)),ISNUMBER(SEARCH("恶灵骑士",E823)),ISNUMBER(SEARCH("黑蝙蝠",E823)),ISNUMBER(SEARCH("血月使徒",E823))),"werewolves","villagers"))</f>
      </c>
      <c r="M823" s="0">
        <f>IF(F823="","",IF(ROUND(F823,2)=5,"win","loss"))</f>
      </c>
      <c r="N823" s="0" t="inlineStr">
        <is>
          <t xml:space="preserve"/>
        </is>
      </c>
      <c r="O823" s="0" t="inlineStr">
        <is>
          <t xml:space="preserve"/>
        </is>
      </c>
      <c r="P823" s="0" t="inlineStr">
        <is>
          <t xml:space="preserve"/>
        </is>
      </c>
      <c r="Q823" s="0" t="inlineStr">
        <is>
          <t xml:space="preserve"/>
        </is>
      </c>
      <c r="R823" s="0">
        <f>IF(D823="","",IFERROR(LOOKUP(2,1/(($D$2:$D$1001=D823)*($M$2:$M$1001="win")),$L$2:$L$1001),""))</f>
      </c>
      <c r="S823" s="0" t="inlineStr">
        <is>
          <t xml:space="preserve"/>
        </is>
      </c>
      <c r="T823" s="0" t="inlineStr">
        <is>
          <t xml:space="preserve"/>
        </is>
      </c>
      <c r="U823" s="0" t="inlineStr">
        <is>
          <t xml:space="preserve"/>
        </is>
      </c>
      <c r="V823" s="0" t="inlineStr">
        <is>
          <t xml:space="preserve"/>
        </is>
      </c>
      <c r="W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 t="inlineStr">
        <is>
          <t xml:space="preserve"/>
        </is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>
        <f>IF(E824="","",IF(OR(ISNUMBER(SEARCH("狼",E824)),ISNUMBER(SEARCH("石像鬼",E824)),ISNUMBER(SEARCH("恶灵骑士",E824)),ISNUMBER(SEARCH("黑蝙蝠",E824)),ISNUMBER(SEARCH("血月使徒",E824))),"werewolves","villagers"))</f>
      </c>
      <c r="M824" s="0">
        <f>IF(F824="","",IF(ROUND(F824,2)=5,"win","loss"))</f>
      </c>
      <c r="N824" s="0" t="inlineStr">
        <is>
          <t xml:space="preserve"/>
        </is>
      </c>
      <c r="O824" s="0" t="inlineStr">
        <is>
          <t xml:space="preserve"/>
        </is>
      </c>
      <c r="P824" s="0" t="inlineStr">
        <is>
          <t xml:space="preserve"/>
        </is>
      </c>
      <c r="Q824" s="0" t="inlineStr">
        <is>
          <t xml:space="preserve"/>
        </is>
      </c>
      <c r="R824" s="0">
        <f>IF(D824="","",IFERROR(LOOKUP(2,1/(($D$2:$D$1001=D824)*($M$2:$M$1001="win")),$L$2:$L$1001),""))</f>
      </c>
      <c r="S824" s="0" t="inlineStr">
        <is>
          <t xml:space="preserve"/>
        </is>
      </c>
      <c r="T824" s="0" t="inlineStr">
        <is>
          <t xml:space="preserve"/>
        </is>
      </c>
      <c r="U824" s="0" t="inlineStr">
        <is>
          <t xml:space="preserve"/>
        </is>
      </c>
      <c r="V824" s="0" t="inlineStr">
        <is>
          <t xml:space="preserve"/>
        </is>
      </c>
      <c r="W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>
        <f>IF(E825="","",IF(OR(ISNUMBER(SEARCH("狼",E825)),ISNUMBER(SEARCH("石像鬼",E825)),ISNUMBER(SEARCH("恶灵骑士",E825)),ISNUMBER(SEARCH("黑蝙蝠",E825)),ISNUMBER(SEARCH("血月使徒",E825))),"werewolves","villagers"))</f>
      </c>
      <c r="M825" s="0">
        <f>IF(F825="","",IF(ROUND(F825,2)=5,"win","loss"))</f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>
        <f>IF(D825="","",IFERROR(LOOKUP(2,1/(($D$2:$D$1001=D825)*($M$2:$M$1001="win")),$L$2:$L$1001),""))</f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 t="inlineStr">
        <is>
          <t xml:space="preserve"/>
        </is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>
        <f>IF(E826="","",IF(OR(ISNUMBER(SEARCH("狼",E826)),ISNUMBER(SEARCH("石像鬼",E826)),ISNUMBER(SEARCH("恶灵骑士",E826)),ISNUMBER(SEARCH("黑蝙蝠",E826)),ISNUMBER(SEARCH("血月使徒",E826))),"werewolves","villagers"))</f>
      </c>
      <c r="M826" s="0">
        <f>IF(F826="","",IF(ROUND(F826,2)=5,"win","loss"))</f>
      </c>
      <c r="N826" s="0" t="inlineStr">
        <is>
          <t xml:space="preserve"/>
        </is>
      </c>
      <c r="O826" s="0" t="inlineStr">
        <is>
          <t xml:space="preserve"/>
        </is>
      </c>
      <c r="P826" s="0" t="inlineStr">
        <is>
          <t xml:space="preserve"/>
        </is>
      </c>
      <c r="Q826" s="0" t="inlineStr">
        <is>
          <t xml:space="preserve"/>
        </is>
      </c>
      <c r="R826" s="0">
        <f>IF(D826="","",IFERROR(LOOKUP(2,1/(($D$2:$D$1001=D826)*($M$2:$M$1001="win")),$L$2:$L$1001),""))</f>
      </c>
      <c r="S826" s="0" t="inlineStr">
        <is>
          <t xml:space="preserve"/>
        </is>
      </c>
      <c r="T826" s="0" t="inlineStr">
        <is>
          <t xml:space="preserve"/>
        </is>
      </c>
      <c r="U826" s="0" t="inlineStr">
        <is>
          <t xml:space="preserve"/>
        </is>
      </c>
      <c r="V826" s="0" t="inlineStr">
        <is>
          <t xml:space="preserve"/>
        </is>
      </c>
      <c r="W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 t="inlineStr">
        <is>
          <t xml:space="preserve"/>
        </is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>
        <f>IF(E827="","",IF(OR(ISNUMBER(SEARCH("狼",E827)),ISNUMBER(SEARCH("石像鬼",E827)),ISNUMBER(SEARCH("恶灵骑士",E827)),ISNUMBER(SEARCH("黑蝙蝠",E827)),ISNUMBER(SEARCH("血月使徒",E827))),"werewolves","villagers"))</f>
      </c>
      <c r="M827" s="0">
        <f>IF(F827="","",IF(ROUND(F827,2)=5,"win","loss"))</f>
      </c>
      <c r="N827" s="0" t="inlineStr">
        <is>
          <t xml:space="preserve"/>
        </is>
      </c>
      <c r="O827" s="0" t="inlineStr">
        <is>
          <t xml:space="preserve"/>
        </is>
      </c>
      <c r="P827" s="0" t="inlineStr">
        <is>
          <t xml:space="preserve"/>
        </is>
      </c>
      <c r="Q827" s="0" t="inlineStr">
        <is>
          <t xml:space="preserve"/>
        </is>
      </c>
      <c r="R827" s="0">
        <f>IF(D827="","",IFERROR(LOOKUP(2,1/(($D$2:$D$1001=D827)*($M$2:$M$1001="win")),$L$2:$L$1001),""))</f>
      </c>
      <c r="S827" s="0" t="inlineStr">
        <is>
          <t xml:space="preserve"/>
        </is>
      </c>
      <c r="T827" s="0" t="inlineStr">
        <is>
          <t xml:space="preserve"/>
        </is>
      </c>
      <c r="U827" s="0" t="inlineStr">
        <is>
          <t xml:space="preserve"/>
        </is>
      </c>
      <c r="V827" s="0" t="inlineStr">
        <is>
          <t xml:space="preserve"/>
        </is>
      </c>
      <c r="W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 t="inlineStr">
        <is>
          <t xml:space="preserve"/>
        </is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>
        <f>IF(E828="","",IF(OR(ISNUMBER(SEARCH("狼",E828)),ISNUMBER(SEARCH("石像鬼",E828)),ISNUMBER(SEARCH("恶灵骑士",E828)),ISNUMBER(SEARCH("黑蝙蝠",E828)),ISNUMBER(SEARCH("血月使徒",E828))),"werewolves","villagers"))</f>
      </c>
      <c r="M828" s="0">
        <f>IF(F828="","",IF(ROUND(F828,2)=5,"win","loss"))</f>
      </c>
      <c r="N828" s="0" t="inlineStr">
        <is>
          <t xml:space="preserve"/>
        </is>
      </c>
      <c r="O828" s="0" t="inlineStr">
        <is>
          <t xml:space="preserve"/>
        </is>
      </c>
      <c r="P828" s="0" t="inlineStr">
        <is>
          <t xml:space="preserve"/>
        </is>
      </c>
      <c r="Q828" s="0" t="inlineStr">
        <is>
          <t xml:space="preserve"/>
        </is>
      </c>
      <c r="R828" s="0">
        <f>IF(D828="","",IFERROR(LOOKUP(2,1/(($D$2:$D$1001=D828)*($M$2:$M$1001="win")),$L$2:$L$1001),""))</f>
      </c>
      <c r="S828" s="0" t="inlineStr">
        <is>
          <t xml:space="preserve"/>
        </is>
      </c>
      <c r="T828" s="0" t="inlineStr">
        <is>
          <t xml:space="preserve"/>
        </is>
      </c>
      <c r="U828" s="0" t="inlineStr">
        <is>
          <t xml:space="preserve"/>
        </is>
      </c>
      <c r="V828" s="0" t="inlineStr">
        <is>
          <t xml:space="preserve"/>
        </is>
      </c>
      <c r="W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 t="inlineStr">
        <is>
          <t xml:space="preserve"/>
        </is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>
        <f>IF(E829="","",IF(OR(ISNUMBER(SEARCH("狼",E829)),ISNUMBER(SEARCH("石像鬼",E829)),ISNUMBER(SEARCH("恶灵骑士",E829)),ISNUMBER(SEARCH("黑蝙蝠",E829)),ISNUMBER(SEARCH("血月使徒",E829))),"werewolves","villagers"))</f>
      </c>
      <c r="M829" s="0">
        <f>IF(F829="","",IF(ROUND(F829,2)=5,"win","loss"))</f>
      </c>
      <c r="N829" s="0" t="inlineStr">
        <is>
          <t xml:space="preserve"/>
        </is>
      </c>
      <c r="O829" s="0" t="inlineStr">
        <is>
          <t xml:space="preserve"/>
        </is>
      </c>
      <c r="P829" s="0" t="inlineStr">
        <is>
          <t xml:space="preserve"/>
        </is>
      </c>
      <c r="Q829" s="0" t="inlineStr">
        <is>
          <t xml:space="preserve"/>
        </is>
      </c>
      <c r="R829" s="0">
        <f>IF(D829="","",IFERROR(LOOKUP(2,1/(($D$2:$D$1001=D829)*($M$2:$M$1001="win")),$L$2:$L$1001),""))</f>
      </c>
      <c r="S829" s="0" t="inlineStr">
        <is>
          <t xml:space="preserve"/>
        </is>
      </c>
      <c r="T829" s="0" t="inlineStr">
        <is>
          <t xml:space="preserve"/>
        </is>
      </c>
      <c r="U829" s="0" t="inlineStr">
        <is>
          <t xml:space="preserve"/>
        </is>
      </c>
      <c r="V829" s="0" t="inlineStr">
        <is>
          <t xml:space="preserve"/>
        </is>
      </c>
      <c r="W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 t="inlineStr">
        <is>
          <t xml:space="preserve"/>
        </is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>
        <f>IF(E830="","",IF(OR(ISNUMBER(SEARCH("狼",E830)),ISNUMBER(SEARCH("石像鬼",E830)),ISNUMBER(SEARCH("恶灵骑士",E830)),ISNUMBER(SEARCH("黑蝙蝠",E830)),ISNUMBER(SEARCH("血月使徒",E830))),"werewolves","villagers"))</f>
      </c>
      <c r="M830" s="0">
        <f>IF(F830="","",IF(ROUND(F830,2)=5,"win","loss"))</f>
      </c>
      <c r="N830" s="0" t="inlineStr">
        <is>
          <t xml:space="preserve"/>
        </is>
      </c>
      <c r="O830" s="0" t="inlineStr">
        <is>
          <t xml:space="preserve"/>
        </is>
      </c>
      <c r="P830" s="0" t="inlineStr">
        <is>
          <t xml:space="preserve"/>
        </is>
      </c>
      <c r="Q830" s="0" t="inlineStr">
        <is>
          <t xml:space="preserve"/>
        </is>
      </c>
      <c r="R830" s="0">
        <f>IF(D830="","",IFERROR(LOOKUP(2,1/(($D$2:$D$1001=D830)*($M$2:$M$1001="win")),$L$2:$L$1001),""))</f>
      </c>
      <c r="S830" s="0" t="inlineStr">
        <is>
          <t xml:space="preserve"/>
        </is>
      </c>
      <c r="T830" s="0" t="inlineStr">
        <is>
          <t xml:space="preserve"/>
        </is>
      </c>
      <c r="U830" s="0" t="inlineStr">
        <is>
          <t xml:space="preserve"/>
        </is>
      </c>
      <c r="V830" s="0" t="inlineStr">
        <is>
          <t xml:space="preserve"/>
        </is>
      </c>
      <c r="W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 t="inlineStr">
        <is>
          <t xml:space="preserve"/>
        </is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>
        <f>IF(E831="","",IF(OR(ISNUMBER(SEARCH("狼",E831)),ISNUMBER(SEARCH("石像鬼",E831)),ISNUMBER(SEARCH("恶灵骑士",E831)),ISNUMBER(SEARCH("黑蝙蝠",E831)),ISNUMBER(SEARCH("血月使徒",E831))),"werewolves","villagers"))</f>
      </c>
      <c r="M831" s="0">
        <f>IF(F831="","",IF(ROUND(F831,2)=5,"win","loss"))</f>
      </c>
      <c r="N831" s="0" t="inlineStr">
        <is>
          <t xml:space="preserve"/>
        </is>
      </c>
      <c r="O831" s="0" t="inlineStr">
        <is>
          <t xml:space="preserve"/>
        </is>
      </c>
      <c r="P831" s="0" t="inlineStr">
        <is>
          <t xml:space="preserve"/>
        </is>
      </c>
      <c r="Q831" s="0" t="inlineStr">
        <is>
          <t xml:space="preserve"/>
        </is>
      </c>
      <c r="R831" s="0">
        <f>IF(D831="","",IFERROR(LOOKUP(2,1/(($D$2:$D$1001=D831)*($M$2:$M$1001="win")),$L$2:$L$1001),""))</f>
      </c>
      <c r="S831" s="0" t="inlineStr">
        <is>
          <t xml:space="preserve"/>
        </is>
      </c>
      <c r="T831" s="0" t="inlineStr">
        <is>
          <t xml:space="preserve"/>
        </is>
      </c>
      <c r="U831" s="0" t="inlineStr">
        <is>
          <t xml:space="preserve"/>
        </is>
      </c>
      <c r="V831" s="0" t="inlineStr">
        <is>
          <t xml:space="preserve"/>
        </is>
      </c>
      <c r="W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 t="inlineStr">
        <is>
          <t xml:space="preserve"/>
        </is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>
        <f>IF(E832="","",IF(OR(ISNUMBER(SEARCH("狼",E832)),ISNUMBER(SEARCH("石像鬼",E832)),ISNUMBER(SEARCH("恶灵骑士",E832)),ISNUMBER(SEARCH("黑蝙蝠",E832)),ISNUMBER(SEARCH("血月使徒",E832))),"werewolves","villagers"))</f>
      </c>
      <c r="M832" s="0">
        <f>IF(F832="","",IF(ROUND(F832,2)=5,"win","loss"))</f>
      </c>
      <c r="N832" s="0" t="inlineStr">
        <is>
          <t xml:space="preserve"/>
        </is>
      </c>
      <c r="O832" s="0" t="inlineStr">
        <is>
          <t xml:space="preserve"/>
        </is>
      </c>
      <c r="P832" s="0" t="inlineStr">
        <is>
          <t xml:space="preserve"/>
        </is>
      </c>
      <c r="Q832" s="0" t="inlineStr">
        <is>
          <t xml:space="preserve"/>
        </is>
      </c>
      <c r="R832" s="0">
        <f>IF(D832="","",IFERROR(LOOKUP(2,1/(($D$2:$D$1001=D832)*($M$2:$M$1001="win")),$L$2:$L$1001),""))</f>
      </c>
      <c r="S832" s="0" t="inlineStr">
        <is>
          <t xml:space="preserve"/>
        </is>
      </c>
      <c r="T832" s="0" t="inlineStr">
        <is>
          <t xml:space="preserve"/>
        </is>
      </c>
      <c r="U832" s="0" t="inlineStr">
        <is>
          <t xml:space="preserve"/>
        </is>
      </c>
      <c r="V832" s="0" t="inlineStr">
        <is>
          <t xml:space="preserve"/>
        </is>
      </c>
      <c r="W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 t="inlineStr">
        <is>
          <t xml:space="preserve"/>
        </is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>
        <f>IF(E833="","",IF(OR(ISNUMBER(SEARCH("狼",E833)),ISNUMBER(SEARCH("石像鬼",E833)),ISNUMBER(SEARCH("恶灵骑士",E833)),ISNUMBER(SEARCH("黑蝙蝠",E833)),ISNUMBER(SEARCH("血月使徒",E833))),"werewolves","villagers"))</f>
      </c>
      <c r="M833" s="0">
        <f>IF(F833="","",IF(ROUND(F833,2)=5,"win","loss"))</f>
      </c>
      <c r="N833" s="0" t="inlineStr">
        <is>
          <t xml:space="preserve"/>
        </is>
      </c>
      <c r="O833" s="0" t="inlineStr">
        <is>
          <t xml:space="preserve"/>
        </is>
      </c>
      <c r="P833" s="0" t="inlineStr">
        <is>
          <t xml:space="preserve"/>
        </is>
      </c>
      <c r="Q833" s="0" t="inlineStr">
        <is>
          <t xml:space="preserve"/>
        </is>
      </c>
      <c r="R833" s="0">
        <f>IF(D833="","",IFERROR(LOOKUP(2,1/(($D$2:$D$1001=D833)*($M$2:$M$1001="win")),$L$2:$L$1001),""))</f>
      </c>
      <c r="S833" s="0" t="inlineStr">
        <is>
          <t xml:space="preserve"/>
        </is>
      </c>
      <c r="T833" s="0" t="inlineStr">
        <is>
          <t xml:space="preserve"/>
        </is>
      </c>
      <c r="U833" s="0" t="inlineStr">
        <is>
          <t xml:space="preserve"/>
        </is>
      </c>
      <c r="V833" s="0" t="inlineStr">
        <is>
          <t xml:space="preserve"/>
        </is>
      </c>
      <c r="W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 t="inlineStr">
        <is>
          <t xml:space="preserve"/>
        </is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>
        <f>IF(E834="","",IF(OR(ISNUMBER(SEARCH("狼",E834)),ISNUMBER(SEARCH("石像鬼",E834)),ISNUMBER(SEARCH("恶灵骑士",E834)),ISNUMBER(SEARCH("黑蝙蝠",E834)),ISNUMBER(SEARCH("血月使徒",E834))),"werewolves","villagers"))</f>
      </c>
      <c r="M834" s="0">
        <f>IF(F834="","",IF(ROUND(F834,2)=5,"win","loss"))</f>
      </c>
      <c r="N834" s="0" t="inlineStr">
        <is>
          <t xml:space="preserve"/>
        </is>
      </c>
      <c r="O834" s="0" t="inlineStr">
        <is>
          <t xml:space="preserve"/>
        </is>
      </c>
      <c r="P834" s="0" t="inlineStr">
        <is>
          <t xml:space="preserve"/>
        </is>
      </c>
      <c r="Q834" s="0" t="inlineStr">
        <is>
          <t xml:space="preserve"/>
        </is>
      </c>
      <c r="R834" s="0">
        <f>IF(D834="","",IFERROR(LOOKUP(2,1/(($D$2:$D$1001=D834)*($M$2:$M$1001="win")),$L$2:$L$1001),""))</f>
      </c>
      <c r="S834" s="0" t="inlineStr">
        <is>
          <t xml:space="preserve"/>
        </is>
      </c>
      <c r="T834" s="0" t="inlineStr">
        <is>
          <t xml:space="preserve"/>
        </is>
      </c>
      <c r="U834" s="0" t="inlineStr">
        <is>
          <t xml:space="preserve"/>
        </is>
      </c>
      <c r="V834" s="0" t="inlineStr">
        <is>
          <t xml:space="preserve"/>
        </is>
      </c>
      <c r="W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 t="inlineStr">
        <is>
          <t xml:space="preserve"/>
        </is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>
        <f>IF(E835="","",IF(OR(ISNUMBER(SEARCH("狼",E835)),ISNUMBER(SEARCH("石像鬼",E835)),ISNUMBER(SEARCH("恶灵骑士",E835)),ISNUMBER(SEARCH("黑蝙蝠",E835)),ISNUMBER(SEARCH("血月使徒",E835))),"werewolves","villagers"))</f>
      </c>
      <c r="M835" s="0">
        <f>IF(F835="","",IF(ROUND(F835,2)=5,"win","loss"))</f>
      </c>
      <c r="N835" s="0" t="inlineStr">
        <is>
          <t xml:space="preserve"/>
        </is>
      </c>
      <c r="O835" s="0" t="inlineStr">
        <is>
          <t xml:space="preserve"/>
        </is>
      </c>
      <c r="P835" s="0" t="inlineStr">
        <is>
          <t xml:space="preserve"/>
        </is>
      </c>
      <c r="Q835" s="0" t="inlineStr">
        <is>
          <t xml:space="preserve"/>
        </is>
      </c>
      <c r="R835" s="0">
        <f>IF(D835="","",IFERROR(LOOKUP(2,1/(($D$2:$D$1001=D835)*($M$2:$M$1001="win")),$L$2:$L$1001),""))</f>
      </c>
      <c r="S835" s="0" t="inlineStr">
        <is>
          <t xml:space="preserve"/>
        </is>
      </c>
      <c r="T835" s="0" t="inlineStr">
        <is>
          <t xml:space="preserve"/>
        </is>
      </c>
      <c r="U835" s="0" t="inlineStr">
        <is>
          <t xml:space="preserve"/>
        </is>
      </c>
      <c r="V835" s="0" t="inlineStr">
        <is>
          <t xml:space="preserve"/>
        </is>
      </c>
      <c r="W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 t="inlineStr">
        <is>
          <t xml:space="preserve"/>
        </is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>
        <f>IF(E836="","",IF(OR(ISNUMBER(SEARCH("狼",E836)),ISNUMBER(SEARCH("石像鬼",E836)),ISNUMBER(SEARCH("恶灵骑士",E836)),ISNUMBER(SEARCH("黑蝙蝠",E836)),ISNUMBER(SEARCH("血月使徒",E836))),"werewolves","villagers"))</f>
      </c>
      <c r="M836" s="0">
        <f>IF(F836="","",IF(ROUND(F836,2)=5,"win","loss"))</f>
      </c>
      <c r="N836" s="0" t="inlineStr">
        <is>
          <t xml:space="preserve"/>
        </is>
      </c>
      <c r="O836" s="0" t="inlineStr">
        <is>
          <t xml:space="preserve"/>
        </is>
      </c>
      <c r="P836" s="0" t="inlineStr">
        <is>
          <t xml:space="preserve"/>
        </is>
      </c>
      <c r="Q836" s="0" t="inlineStr">
        <is>
          <t xml:space="preserve"/>
        </is>
      </c>
      <c r="R836" s="0">
        <f>IF(D836="","",IFERROR(LOOKUP(2,1/(($D$2:$D$1001=D836)*($M$2:$M$1001="win")),$L$2:$L$1001),""))</f>
      </c>
      <c r="S836" s="0" t="inlineStr">
        <is>
          <t xml:space="preserve"/>
        </is>
      </c>
      <c r="T836" s="0" t="inlineStr">
        <is>
          <t xml:space="preserve"/>
        </is>
      </c>
      <c r="U836" s="0" t="inlineStr">
        <is>
          <t xml:space="preserve"/>
        </is>
      </c>
      <c r="V836" s="0" t="inlineStr">
        <is>
          <t xml:space="preserve"/>
        </is>
      </c>
      <c r="W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 t="inlineStr">
        <is>
          <t xml:space="preserve"/>
        </is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>
        <f>IF(E837="","",IF(OR(ISNUMBER(SEARCH("狼",E837)),ISNUMBER(SEARCH("石像鬼",E837)),ISNUMBER(SEARCH("恶灵骑士",E837)),ISNUMBER(SEARCH("黑蝙蝠",E837)),ISNUMBER(SEARCH("血月使徒",E837))),"werewolves","villagers"))</f>
      </c>
      <c r="M837" s="0">
        <f>IF(F837="","",IF(ROUND(F837,2)=5,"win","loss"))</f>
      </c>
      <c r="N837" s="0" t="inlineStr">
        <is>
          <t xml:space="preserve"/>
        </is>
      </c>
      <c r="O837" s="0" t="inlineStr">
        <is>
          <t xml:space="preserve"/>
        </is>
      </c>
      <c r="P837" s="0" t="inlineStr">
        <is>
          <t xml:space="preserve"/>
        </is>
      </c>
      <c r="Q837" s="0" t="inlineStr">
        <is>
          <t xml:space="preserve"/>
        </is>
      </c>
      <c r="R837" s="0">
        <f>IF(D837="","",IFERROR(LOOKUP(2,1/(($D$2:$D$1001=D837)*($M$2:$M$1001="win")),$L$2:$L$1001),""))</f>
      </c>
      <c r="S837" s="0" t="inlineStr">
        <is>
          <t xml:space="preserve"/>
        </is>
      </c>
      <c r="T837" s="0" t="inlineStr">
        <is>
          <t xml:space="preserve"/>
        </is>
      </c>
      <c r="U837" s="0" t="inlineStr">
        <is>
          <t xml:space="preserve"/>
        </is>
      </c>
      <c r="V837" s="0" t="inlineStr">
        <is>
          <t xml:space="preserve"/>
        </is>
      </c>
      <c r="W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>
        <f>IF(E838="","",IF(OR(ISNUMBER(SEARCH("狼",E838)),ISNUMBER(SEARCH("石像鬼",E838)),ISNUMBER(SEARCH("恶灵骑士",E838)),ISNUMBER(SEARCH("黑蝙蝠",E838)),ISNUMBER(SEARCH("血月使徒",E838))),"werewolves","villagers"))</f>
      </c>
      <c r="M838" s="0">
        <f>IF(F838="","",IF(ROUND(F838,2)=5,"win","loss"))</f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>
        <f>IF(D838="","",IFERROR(LOOKUP(2,1/(($D$2:$D$1001=D838)*($M$2:$M$1001="win")),$L$2:$L$1001),""))</f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 t="inlineStr">
        <is>
          <t xml:space="preserve"/>
        </is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>
        <f>IF(E839="","",IF(OR(ISNUMBER(SEARCH("狼",E839)),ISNUMBER(SEARCH("石像鬼",E839)),ISNUMBER(SEARCH("恶灵骑士",E839)),ISNUMBER(SEARCH("黑蝙蝠",E839)),ISNUMBER(SEARCH("血月使徒",E839))),"werewolves","villagers"))</f>
      </c>
      <c r="M839" s="0">
        <f>IF(F839="","",IF(ROUND(F839,2)=5,"win","loss"))</f>
      </c>
      <c r="N839" s="0" t="inlineStr">
        <is>
          <t xml:space="preserve"/>
        </is>
      </c>
      <c r="O839" s="0" t="inlineStr">
        <is>
          <t xml:space="preserve"/>
        </is>
      </c>
      <c r="P839" s="0" t="inlineStr">
        <is>
          <t xml:space="preserve"/>
        </is>
      </c>
      <c r="Q839" s="0" t="inlineStr">
        <is>
          <t xml:space="preserve"/>
        </is>
      </c>
      <c r="R839" s="0">
        <f>IF(D839="","",IFERROR(LOOKUP(2,1/(($D$2:$D$1001=D839)*($M$2:$M$1001="win")),$L$2:$L$1001),""))</f>
      </c>
      <c r="S839" s="0" t="inlineStr">
        <is>
          <t xml:space="preserve"/>
        </is>
      </c>
      <c r="T839" s="0" t="inlineStr">
        <is>
          <t xml:space="preserve"/>
        </is>
      </c>
      <c r="U839" s="0" t="inlineStr">
        <is>
          <t xml:space="preserve"/>
        </is>
      </c>
      <c r="V839" s="0" t="inlineStr">
        <is>
          <t xml:space="preserve"/>
        </is>
      </c>
      <c r="W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 t="inlineStr">
        <is>
          <t xml:space="preserve"/>
        </is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>
        <f>IF(E840="","",IF(OR(ISNUMBER(SEARCH("狼",E840)),ISNUMBER(SEARCH("石像鬼",E840)),ISNUMBER(SEARCH("恶灵骑士",E840)),ISNUMBER(SEARCH("黑蝙蝠",E840)),ISNUMBER(SEARCH("血月使徒",E840))),"werewolves","villagers"))</f>
      </c>
      <c r="M840" s="0">
        <f>IF(F840="","",IF(ROUND(F840,2)=5,"win","loss"))</f>
      </c>
      <c r="N840" s="0" t="inlineStr">
        <is>
          <t xml:space="preserve"/>
        </is>
      </c>
      <c r="O840" s="0" t="inlineStr">
        <is>
          <t xml:space="preserve"/>
        </is>
      </c>
      <c r="P840" s="0" t="inlineStr">
        <is>
          <t xml:space="preserve"/>
        </is>
      </c>
      <c r="Q840" s="0" t="inlineStr">
        <is>
          <t xml:space="preserve"/>
        </is>
      </c>
      <c r="R840" s="0">
        <f>IF(D840="","",IFERROR(LOOKUP(2,1/(($D$2:$D$1001=D840)*($M$2:$M$1001="win")),$L$2:$L$1001),""))</f>
      </c>
      <c r="S840" s="0" t="inlineStr">
        <is>
          <t xml:space="preserve"/>
        </is>
      </c>
      <c r="T840" s="0" t="inlineStr">
        <is>
          <t xml:space="preserve"/>
        </is>
      </c>
      <c r="U840" s="0" t="inlineStr">
        <is>
          <t xml:space="preserve"/>
        </is>
      </c>
      <c r="V840" s="0" t="inlineStr">
        <is>
          <t xml:space="preserve"/>
        </is>
      </c>
      <c r="W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 t="inlineStr">
        <is>
          <t xml:space="preserve"/>
        </is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>
        <f>IF(E841="","",IF(OR(ISNUMBER(SEARCH("狼",E841)),ISNUMBER(SEARCH("石像鬼",E841)),ISNUMBER(SEARCH("恶灵骑士",E841)),ISNUMBER(SEARCH("黑蝙蝠",E841)),ISNUMBER(SEARCH("血月使徒",E841))),"werewolves","villagers"))</f>
      </c>
      <c r="M841" s="0">
        <f>IF(F841="","",IF(ROUND(F841,2)=5,"win","loss"))</f>
      </c>
      <c r="N841" s="0" t="inlineStr">
        <is>
          <t xml:space="preserve"/>
        </is>
      </c>
      <c r="O841" s="0" t="inlineStr">
        <is>
          <t xml:space="preserve"/>
        </is>
      </c>
      <c r="P841" s="0" t="inlineStr">
        <is>
          <t xml:space="preserve"/>
        </is>
      </c>
      <c r="Q841" s="0" t="inlineStr">
        <is>
          <t xml:space="preserve"/>
        </is>
      </c>
      <c r="R841" s="0">
        <f>IF(D841="","",IFERROR(LOOKUP(2,1/(($D$2:$D$1001=D841)*($M$2:$M$1001="win")),$L$2:$L$1001),""))</f>
      </c>
      <c r="S841" s="0" t="inlineStr">
        <is>
          <t xml:space="preserve"/>
        </is>
      </c>
      <c r="T841" s="0" t="inlineStr">
        <is>
          <t xml:space="preserve"/>
        </is>
      </c>
      <c r="U841" s="0" t="inlineStr">
        <is>
          <t xml:space="preserve"/>
        </is>
      </c>
      <c r="V841" s="0" t="inlineStr">
        <is>
          <t xml:space="preserve"/>
        </is>
      </c>
      <c r="W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 t="inlineStr">
        <is>
          <t xml:space="preserve"/>
        </is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>
        <f>IF(E842="","",IF(OR(ISNUMBER(SEARCH("狼",E842)),ISNUMBER(SEARCH("石像鬼",E842)),ISNUMBER(SEARCH("恶灵骑士",E842)),ISNUMBER(SEARCH("黑蝙蝠",E842)),ISNUMBER(SEARCH("血月使徒",E842))),"werewolves","villagers"))</f>
      </c>
      <c r="M842" s="0">
        <f>IF(F842="","",IF(ROUND(F842,2)=5,"win","loss"))</f>
      </c>
      <c r="N842" s="0" t="inlineStr">
        <is>
          <t xml:space="preserve"/>
        </is>
      </c>
      <c r="O842" s="0" t="inlineStr">
        <is>
          <t xml:space="preserve"/>
        </is>
      </c>
      <c r="P842" s="0" t="inlineStr">
        <is>
          <t xml:space="preserve"/>
        </is>
      </c>
      <c r="Q842" s="0" t="inlineStr">
        <is>
          <t xml:space="preserve"/>
        </is>
      </c>
      <c r="R842" s="0">
        <f>IF(D842="","",IFERROR(LOOKUP(2,1/(($D$2:$D$1001=D842)*($M$2:$M$1001="win")),$L$2:$L$1001),""))</f>
      </c>
      <c r="S842" s="0" t="inlineStr">
        <is>
          <t xml:space="preserve"/>
        </is>
      </c>
      <c r="T842" s="0" t="inlineStr">
        <is>
          <t xml:space="preserve"/>
        </is>
      </c>
      <c r="U842" s="0" t="inlineStr">
        <is>
          <t xml:space="preserve"/>
        </is>
      </c>
      <c r="V842" s="0" t="inlineStr">
        <is>
          <t xml:space="preserve"/>
        </is>
      </c>
      <c r="W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 t="inlineStr">
        <is>
          <t xml:space="preserve"/>
        </is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>
        <f>IF(E843="","",IF(OR(ISNUMBER(SEARCH("狼",E843)),ISNUMBER(SEARCH("石像鬼",E843)),ISNUMBER(SEARCH("恶灵骑士",E843)),ISNUMBER(SEARCH("黑蝙蝠",E843)),ISNUMBER(SEARCH("血月使徒",E843))),"werewolves","villagers"))</f>
      </c>
      <c r="M843" s="0">
        <f>IF(F843="","",IF(ROUND(F843,2)=5,"win","loss"))</f>
      </c>
      <c r="N843" s="0" t="inlineStr">
        <is>
          <t xml:space="preserve"/>
        </is>
      </c>
      <c r="O843" s="0" t="inlineStr">
        <is>
          <t xml:space="preserve"/>
        </is>
      </c>
      <c r="P843" s="0" t="inlineStr">
        <is>
          <t xml:space="preserve"/>
        </is>
      </c>
      <c r="Q843" s="0" t="inlineStr">
        <is>
          <t xml:space="preserve"/>
        </is>
      </c>
      <c r="R843" s="0">
        <f>IF(D843="","",IFERROR(LOOKUP(2,1/(($D$2:$D$1001=D843)*($M$2:$M$1001="win")),$L$2:$L$1001),""))</f>
      </c>
      <c r="S843" s="0" t="inlineStr">
        <is>
          <t xml:space="preserve"/>
        </is>
      </c>
      <c r="T843" s="0" t="inlineStr">
        <is>
          <t xml:space="preserve"/>
        </is>
      </c>
      <c r="U843" s="0" t="inlineStr">
        <is>
          <t xml:space="preserve"/>
        </is>
      </c>
      <c r="V843" s="0" t="inlineStr">
        <is>
          <t xml:space="preserve"/>
        </is>
      </c>
      <c r="W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 t="inlineStr">
        <is>
          <t xml:space="preserve"/>
        </is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>
        <f>IF(E844="","",IF(OR(ISNUMBER(SEARCH("狼",E844)),ISNUMBER(SEARCH("石像鬼",E844)),ISNUMBER(SEARCH("恶灵骑士",E844)),ISNUMBER(SEARCH("黑蝙蝠",E844)),ISNUMBER(SEARCH("血月使徒",E844))),"werewolves","villagers"))</f>
      </c>
      <c r="M844" s="0">
        <f>IF(F844="","",IF(ROUND(F844,2)=5,"win","loss"))</f>
      </c>
      <c r="N844" s="0" t="inlineStr">
        <is>
          <t xml:space="preserve"/>
        </is>
      </c>
      <c r="O844" s="0" t="inlineStr">
        <is>
          <t xml:space="preserve"/>
        </is>
      </c>
      <c r="P844" s="0" t="inlineStr">
        <is>
          <t xml:space="preserve"/>
        </is>
      </c>
      <c r="Q844" s="0" t="inlineStr">
        <is>
          <t xml:space="preserve"/>
        </is>
      </c>
      <c r="R844" s="0">
        <f>IF(D844="","",IFERROR(LOOKUP(2,1/(($D$2:$D$1001=D844)*($M$2:$M$1001="win")),$L$2:$L$1001),""))</f>
      </c>
      <c r="S844" s="0" t="inlineStr">
        <is>
          <t xml:space="preserve"/>
        </is>
      </c>
      <c r="T844" s="0" t="inlineStr">
        <is>
          <t xml:space="preserve"/>
        </is>
      </c>
      <c r="U844" s="0" t="inlineStr">
        <is>
          <t xml:space="preserve"/>
        </is>
      </c>
      <c r="V844" s="0" t="inlineStr">
        <is>
          <t xml:space="preserve"/>
        </is>
      </c>
      <c r="W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>
        <f>IF(E845="","",IF(OR(ISNUMBER(SEARCH("狼",E845)),ISNUMBER(SEARCH("石像鬼",E845)),ISNUMBER(SEARCH("恶灵骑士",E845)),ISNUMBER(SEARCH("黑蝙蝠",E845)),ISNUMBER(SEARCH("血月使徒",E845))),"werewolves","villagers"))</f>
      </c>
      <c r="M845" s="0">
        <f>IF(F845="","",IF(ROUND(F845,2)=5,"win","loss"))</f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>
        <f>IF(D845="","",IFERROR(LOOKUP(2,1/(($D$2:$D$1001=D845)*($M$2:$M$1001="win")),$L$2:$L$1001),""))</f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 t="inlineStr">
        <is>
          <t xml:space="preserve"/>
        </is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>
        <f>IF(E846="","",IF(OR(ISNUMBER(SEARCH("狼",E846)),ISNUMBER(SEARCH("石像鬼",E846)),ISNUMBER(SEARCH("恶灵骑士",E846)),ISNUMBER(SEARCH("黑蝙蝠",E846)),ISNUMBER(SEARCH("血月使徒",E846))),"werewolves","villagers"))</f>
      </c>
      <c r="M846" s="0">
        <f>IF(F846="","",IF(ROUND(F846,2)=5,"win","loss"))</f>
      </c>
      <c r="N846" s="0" t="inlineStr">
        <is>
          <t xml:space="preserve"/>
        </is>
      </c>
      <c r="O846" s="0" t="inlineStr">
        <is>
          <t xml:space="preserve"/>
        </is>
      </c>
      <c r="P846" s="0" t="inlineStr">
        <is>
          <t xml:space="preserve"/>
        </is>
      </c>
      <c r="Q846" s="0" t="inlineStr">
        <is>
          <t xml:space="preserve"/>
        </is>
      </c>
      <c r="R846" s="0">
        <f>IF(D846="","",IFERROR(LOOKUP(2,1/(($D$2:$D$1001=D846)*($M$2:$M$1001="win")),$L$2:$L$1001),""))</f>
      </c>
      <c r="S846" s="0" t="inlineStr">
        <is>
          <t xml:space="preserve"/>
        </is>
      </c>
      <c r="T846" s="0" t="inlineStr">
        <is>
          <t xml:space="preserve"/>
        </is>
      </c>
      <c r="U846" s="0" t="inlineStr">
        <is>
          <t xml:space="preserve"/>
        </is>
      </c>
      <c r="V846" s="0" t="inlineStr">
        <is>
          <t xml:space="preserve"/>
        </is>
      </c>
      <c r="W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 t="inlineStr">
        <is>
          <t xml:space="preserve"/>
        </is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>
        <f>IF(E847="","",IF(OR(ISNUMBER(SEARCH("狼",E847)),ISNUMBER(SEARCH("石像鬼",E847)),ISNUMBER(SEARCH("恶灵骑士",E847)),ISNUMBER(SEARCH("黑蝙蝠",E847)),ISNUMBER(SEARCH("血月使徒",E847))),"werewolves","villagers"))</f>
      </c>
      <c r="M847" s="0">
        <f>IF(F847="","",IF(ROUND(F847,2)=5,"win","loss"))</f>
      </c>
      <c r="N847" s="0" t="inlineStr">
        <is>
          <t xml:space="preserve"/>
        </is>
      </c>
      <c r="O847" s="0" t="inlineStr">
        <is>
          <t xml:space="preserve"/>
        </is>
      </c>
      <c r="P847" s="0" t="inlineStr">
        <is>
          <t xml:space="preserve"/>
        </is>
      </c>
      <c r="Q847" s="0" t="inlineStr">
        <is>
          <t xml:space="preserve"/>
        </is>
      </c>
      <c r="R847" s="0">
        <f>IF(D847="","",IFERROR(LOOKUP(2,1/(($D$2:$D$1001=D847)*($M$2:$M$1001="win")),$L$2:$L$1001),""))</f>
      </c>
      <c r="S847" s="0" t="inlineStr">
        <is>
          <t xml:space="preserve"/>
        </is>
      </c>
      <c r="T847" s="0" t="inlineStr">
        <is>
          <t xml:space="preserve"/>
        </is>
      </c>
      <c r="U847" s="0" t="inlineStr">
        <is>
          <t xml:space="preserve"/>
        </is>
      </c>
      <c r="V847" s="0" t="inlineStr">
        <is>
          <t xml:space="preserve"/>
        </is>
      </c>
      <c r="W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 t="inlineStr">
        <is>
          <t xml:space="preserve"/>
        </is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>
        <f>IF(E848="","",IF(OR(ISNUMBER(SEARCH("狼",E848)),ISNUMBER(SEARCH("石像鬼",E848)),ISNUMBER(SEARCH("恶灵骑士",E848)),ISNUMBER(SEARCH("黑蝙蝠",E848)),ISNUMBER(SEARCH("血月使徒",E848))),"werewolves","villagers"))</f>
      </c>
      <c r="M848" s="0">
        <f>IF(F848="","",IF(ROUND(F848,2)=5,"win","loss"))</f>
      </c>
      <c r="N848" s="0" t="inlineStr">
        <is>
          <t xml:space="preserve"/>
        </is>
      </c>
      <c r="O848" s="0" t="inlineStr">
        <is>
          <t xml:space="preserve"/>
        </is>
      </c>
      <c r="P848" s="0" t="inlineStr">
        <is>
          <t xml:space="preserve"/>
        </is>
      </c>
      <c r="Q848" s="0" t="inlineStr">
        <is>
          <t xml:space="preserve"/>
        </is>
      </c>
      <c r="R848" s="0">
        <f>IF(D848="","",IFERROR(LOOKUP(2,1/(($D$2:$D$1001=D848)*($M$2:$M$1001="win")),$L$2:$L$1001),""))</f>
      </c>
      <c r="S848" s="0" t="inlineStr">
        <is>
          <t xml:space="preserve"/>
        </is>
      </c>
      <c r="T848" s="0" t="inlineStr">
        <is>
          <t xml:space="preserve"/>
        </is>
      </c>
      <c r="U848" s="0" t="inlineStr">
        <is>
          <t xml:space="preserve"/>
        </is>
      </c>
      <c r="V848" s="0" t="inlineStr">
        <is>
          <t xml:space="preserve"/>
        </is>
      </c>
      <c r="W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 t="inlineStr">
        <is>
          <t xml:space="preserve"/>
        </is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>
        <f>IF(E849="","",IF(OR(ISNUMBER(SEARCH("狼",E849)),ISNUMBER(SEARCH("石像鬼",E849)),ISNUMBER(SEARCH("恶灵骑士",E849)),ISNUMBER(SEARCH("黑蝙蝠",E849)),ISNUMBER(SEARCH("血月使徒",E849))),"werewolves","villagers"))</f>
      </c>
      <c r="M849" s="0">
        <f>IF(F849="","",IF(ROUND(F849,2)=5,"win","loss"))</f>
      </c>
      <c r="N849" s="0" t="inlineStr">
        <is>
          <t xml:space="preserve"/>
        </is>
      </c>
      <c r="O849" s="0" t="inlineStr">
        <is>
          <t xml:space="preserve"/>
        </is>
      </c>
      <c r="P849" s="0" t="inlineStr">
        <is>
          <t xml:space="preserve"/>
        </is>
      </c>
      <c r="Q849" s="0" t="inlineStr">
        <is>
          <t xml:space="preserve"/>
        </is>
      </c>
      <c r="R849" s="0">
        <f>IF(D849="","",IFERROR(LOOKUP(2,1/(($D$2:$D$1001=D849)*($M$2:$M$1001="win")),$L$2:$L$1001),""))</f>
      </c>
      <c r="S849" s="0" t="inlineStr">
        <is>
          <t xml:space="preserve"/>
        </is>
      </c>
      <c r="T849" s="0" t="inlineStr">
        <is>
          <t xml:space="preserve"/>
        </is>
      </c>
      <c r="U849" s="0" t="inlineStr">
        <is>
          <t xml:space="preserve"/>
        </is>
      </c>
      <c r="V849" s="0" t="inlineStr">
        <is>
          <t xml:space="preserve"/>
        </is>
      </c>
      <c r="W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 t="inlineStr">
        <is>
          <t xml:space="preserve"/>
        </is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>
        <f>IF(E850="","",IF(OR(ISNUMBER(SEARCH("狼",E850)),ISNUMBER(SEARCH("石像鬼",E850)),ISNUMBER(SEARCH("恶灵骑士",E850)),ISNUMBER(SEARCH("黑蝙蝠",E850)),ISNUMBER(SEARCH("血月使徒",E850))),"werewolves","villagers"))</f>
      </c>
      <c r="M850" s="0">
        <f>IF(F850="","",IF(ROUND(F850,2)=5,"win","loss"))</f>
      </c>
      <c r="N850" s="0" t="inlineStr">
        <is>
          <t xml:space="preserve"/>
        </is>
      </c>
      <c r="O850" s="0" t="inlineStr">
        <is>
          <t xml:space="preserve"/>
        </is>
      </c>
      <c r="P850" s="0" t="inlineStr">
        <is>
          <t xml:space="preserve"/>
        </is>
      </c>
      <c r="Q850" s="0" t="inlineStr">
        <is>
          <t xml:space="preserve"/>
        </is>
      </c>
      <c r="R850" s="0">
        <f>IF(D850="","",IFERROR(LOOKUP(2,1/(($D$2:$D$1001=D850)*($M$2:$M$1001="win")),$L$2:$L$1001),""))</f>
      </c>
      <c r="S850" s="0" t="inlineStr">
        <is>
          <t xml:space="preserve"/>
        </is>
      </c>
      <c r="T850" s="0" t="inlineStr">
        <is>
          <t xml:space="preserve"/>
        </is>
      </c>
      <c r="U850" s="0" t="inlineStr">
        <is>
          <t xml:space="preserve"/>
        </is>
      </c>
      <c r="V850" s="0" t="inlineStr">
        <is>
          <t xml:space="preserve"/>
        </is>
      </c>
      <c r="W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>
        <f>IF(E851="","",IF(OR(ISNUMBER(SEARCH("狼",E851)),ISNUMBER(SEARCH("石像鬼",E851)),ISNUMBER(SEARCH("恶灵骑士",E851)),ISNUMBER(SEARCH("黑蝙蝠",E851)),ISNUMBER(SEARCH("血月使徒",E851))),"werewolves","villagers"))</f>
      </c>
      <c r="M851" s="0">
        <f>IF(F851="","",IF(ROUND(F851,2)=5,"win","loss"))</f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>
        <f>IF(D851="","",IFERROR(LOOKUP(2,1/(($D$2:$D$1001=D851)*($M$2:$M$1001="win")),$L$2:$L$1001),""))</f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 t="inlineStr">
        <is>
          <t xml:space="preserve"/>
        </is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>
        <f>IF(E852="","",IF(OR(ISNUMBER(SEARCH("狼",E852)),ISNUMBER(SEARCH("石像鬼",E852)),ISNUMBER(SEARCH("恶灵骑士",E852)),ISNUMBER(SEARCH("黑蝙蝠",E852)),ISNUMBER(SEARCH("血月使徒",E852))),"werewolves","villagers"))</f>
      </c>
      <c r="M852" s="0">
        <f>IF(F852="","",IF(ROUND(F852,2)=5,"win","loss"))</f>
      </c>
      <c r="N852" s="0" t="inlineStr">
        <is>
          <t xml:space="preserve"/>
        </is>
      </c>
      <c r="O852" s="0" t="inlineStr">
        <is>
          <t xml:space="preserve"/>
        </is>
      </c>
      <c r="P852" s="0" t="inlineStr">
        <is>
          <t xml:space="preserve"/>
        </is>
      </c>
      <c r="Q852" s="0" t="inlineStr">
        <is>
          <t xml:space="preserve"/>
        </is>
      </c>
      <c r="R852" s="0">
        <f>IF(D852="","",IFERROR(LOOKUP(2,1/(($D$2:$D$1001=D852)*($M$2:$M$1001="win")),$L$2:$L$1001),""))</f>
      </c>
      <c r="S852" s="0" t="inlineStr">
        <is>
          <t xml:space="preserve"/>
        </is>
      </c>
      <c r="T852" s="0" t="inlineStr">
        <is>
          <t xml:space="preserve"/>
        </is>
      </c>
      <c r="U852" s="0" t="inlineStr">
        <is>
          <t xml:space="preserve"/>
        </is>
      </c>
      <c r="V852" s="0" t="inlineStr">
        <is>
          <t xml:space="preserve"/>
        </is>
      </c>
      <c r="W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>
        <f>IF(E853="","",IF(OR(ISNUMBER(SEARCH("狼",E853)),ISNUMBER(SEARCH("石像鬼",E853)),ISNUMBER(SEARCH("恶灵骑士",E853)),ISNUMBER(SEARCH("黑蝙蝠",E853)),ISNUMBER(SEARCH("血月使徒",E853))),"werewolves","villagers"))</f>
      </c>
      <c r="M853" s="0">
        <f>IF(F853="","",IF(ROUND(F853,2)=5,"win","loss"))</f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>
        <f>IF(D853="","",IFERROR(LOOKUP(2,1/(($D$2:$D$1001=D853)*($M$2:$M$1001="win")),$L$2:$L$1001),""))</f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 t="inlineStr">
        <is>
          <t xml:space="preserve"/>
        </is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>
        <f>IF(E854="","",IF(OR(ISNUMBER(SEARCH("狼",E854)),ISNUMBER(SEARCH("石像鬼",E854)),ISNUMBER(SEARCH("恶灵骑士",E854)),ISNUMBER(SEARCH("黑蝙蝠",E854)),ISNUMBER(SEARCH("血月使徒",E854))),"werewolves","villagers"))</f>
      </c>
      <c r="M854" s="0">
        <f>IF(F854="","",IF(ROUND(F854,2)=5,"win","loss"))</f>
      </c>
      <c r="N854" s="0" t="inlineStr">
        <is>
          <t xml:space="preserve"/>
        </is>
      </c>
      <c r="O854" s="0" t="inlineStr">
        <is>
          <t xml:space="preserve"/>
        </is>
      </c>
      <c r="P854" s="0" t="inlineStr">
        <is>
          <t xml:space="preserve"/>
        </is>
      </c>
      <c r="Q854" s="0" t="inlineStr">
        <is>
          <t xml:space="preserve"/>
        </is>
      </c>
      <c r="R854" s="0">
        <f>IF(D854="","",IFERROR(LOOKUP(2,1/(($D$2:$D$1001=D854)*($M$2:$M$1001="win")),$L$2:$L$1001),""))</f>
      </c>
      <c r="S854" s="0" t="inlineStr">
        <is>
          <t xml:space="preserve"/>
        </is>
      </c>
      <c r="T854" s="0" t="inlineStr">
        <is>
          <t xml:space="preserve"/>
        </is>
      </c>
      <c r="U854" s="0" t="inlineStr">
        <is>
          <t xml:space="preserve"/>
        </is>
      </c>
      <c r="V854" s="0" t="inlineStr">
        <is>
          <t xml:space="preserve"/>
        </is>
      </c>
      <c r="W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 t="inlineStr">
        <is>
          <t xml:space="preserve"/>
        </is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>
        <f>IF(E855="","",IF(OR(ISNUMBER(SEARCH("狼",E855)),ISNUMBER(SEARCH("石像鬼",E855)),ISNUMBER(SEARCH("恶灵骑士",E855)),ISNUMBER(SEARCH("黑蝙蝠",E855)),ISNUMBER(SEARCH("血月使徒",E855))),"werewolves","villagers"))</f>
      </c>
      <c r="M855" s="0">
        <f>IF(F855="","",IF(ROUND(F855,2)=5,"win","loss"))</f>
      </c>
      <c r="N855" s="0" t="inlineStr">
        <is>
          <t xml:space="preserve"/>
        </is>
      </c>
      <c r="O855" s="0" t="inlineStr">
        <is>
          <t xml:space="preserve"/>
        </is>
      </c>
      <c r="P855" s="0" t="inlineStr">
        <is>
          <t xml:space="preserve"/>
        </is>
      </c>
      <c r="Q855" s="0" t="inlineStr">
        <is>
          <t xml:space="preserve"/>
        </is>
      </c>
      <c r="R855" s="0">
        <f>IF(D855="","",IFERROR(LOOKUP(2,1/(($D$2:$D$1001=D855)*($M$2:$M$1001="win")),$L$2:$L$1001),""))</f>
      </c>
      <c r="S855" s="0" t="inlineStr">
        <is>
          <t xml:space="preserve"/>
        </is>
      </c>
      <c r="T855" s="0" t="inlineStr">
        <is>
          <t xml:space="preserve"/>
        </is>
      </c>
      <c r="U855" s="0" t="inlineStr">
        <is>
          <t xml:space="preserve"/>
        </is>
      </c>
      <c r="V855" s="0" t="inlineStr">
        <is>
          <t xml:space="preserve"/>
        </is>
      </c>
      <c r="W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 t="inlineStr">
        <is>
          <t xml:space="preserve"/>
        </is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>
        <f>IF(E856="","",IF(OR(ISNUMBER(SEARCH("狼",E856)),ISNUMBER(SEARCH("石像鬼",E856)),ISNUMBER(SEARCH("恶灵骑士",E856)),ISNUMBER(SEARCH("黑蝙蝠",E856)),ISNUMBER(SEARCH("血月使徒",E856))),"werewolves","villagers"))</f>
      </c>
      <c r="M856" s="0">
        <f>IF(F856="","",IF(ROUND(F856,2)=5,"win","loss"))</f>
      </c>
      <c r="N856" s="0" t="inlineStr">
        <is>
          <t xml:space="preserve"/>
        </is>
      </c>
      <c r="O856" s="0" t="inlineStr">
        <is>
          <t xml:space="preserve"/>
        </is>
      </c>
      <c r="P856" s="0" t="inlineStr">
        <is>
          <t xml:space="preserve"/>
        </is>
      </c>
      <c r="Q856" s="0" t="inlineStr">
        <is>
          <t xml:space="preserve"/>
        </is>
      </c>
      <c r="R856" s="0">
        <f>IF(D856="","",IFERROR(LOOKUP(2,1/(($D$2:$D$1001=D856)*($M$2:$M$1001="win")),$L$2:$L$1001),""))</f>
      </c>
      <c r="S856" s="0" t="inlineStr">
        <is>
          <t xml:space="preserve"/>
        </is>
      </c>
      <c r="T856" s="0" t="inlineStr">
        <is>
          <t xml:space="preserve"/>
        </is>
      </c>
      <c r="U856" s="0" t="inlineStr">
        <is>
          <t xml:space="preserve"/>
        </is>
      </c>
      <c r="V856" s="0" t="inlineStr">
        <is>
          <t xml:space="preserve"/>
        </is>
      </c>
      <c r="W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 t="inlineStr">
        <is>
          <t xml:space="preserve"/>
        </is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>
        <f>IF(E857="","",IF(OR(ISNUMBER(SEARCH("狼",E857)),ISNUMBER(SEARCH("石像鬼",E857)),ISNUMBER(SEARCH("恶灵骑士",E857)),ISNUMBER(SEARCH("黑蝙蝠",E857)),ISNUMBER(SEARCH("血月使徒",E857))),"werewolves","villagers"))</f>
      </c>
      <c r="M857" s="0">
        <f>IF(F857="","",IF(ROUND(F857,2)=5,"win","loss"))</f>
      </c>
      <c r="N857" s="0" t="inlineStr">
        <is>
          <t xml:space="preserve"/>
        </is>
      </c>
      <c r="O857" s="0" t="inlineStr">
        <is>
          <t xml:space="preserve"/>
        </is>
      </c>
      <c r="P857" s="0" t="inlineStr">
        <is>
          <t xml:space="preserve"/>
        </is>
      </c>
      <c r="Q857" s="0" t="inlineStr">
        <is>
          <t xml:space="preserve"/>
        </is>
      </c>
      <c r="R857" s="0">
        <f>IF(D857="","",IFERROR(LOOKUP(2,1/(($D$2:$D$1001=D857)*($M$2:$M$1001="win")),$L$2:$L$1001),""))</f>
      </c>
      <c r="S857" s="0" t="inlineStr">
        <is>
          <t xml:space="preserve"/>
        </is>
      </c>
      <c r="T857" s="0" t="inlineStr">
        <is>
          <t xml:space="preserve"/>
        </is>
      </c>
      <c r="U857" s="0" t="inlineStr">
        <is>
          <t xml:space="preserve"/>
        </is>
      </c>
      <c r="V857" s="0" t="inlineStr">
        <is>
          <t xml:space="preserve"/>
        </is>
      </c>
      <c r="W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>
        <f>IF(E858="","",IF(OR(ISNUMBER(SEARCH("狼",E858)),ISNUMBER(SEARCH("石像鬼",E858)),ISNUMBER(SEARCH("恶灵骑士",E858)),ISNUMBER(SEARCH("黑蝙蝠",E858)),ISNUMBER(SEARCH("血月使徒",E858))),"werewolves","villagers"))</f>
      </c>
      <c r="M858" s="0">
        <f>IF(F858="","",IF(ROUND(F858,2)=5,"win","loss"))</f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>
        <f>IF(D858="","",IFERROR(LOOKUP(2,1/(($D$2:$D$1001=D858)*($M$2:$M$1001="win")),$L$2:$L$1001),""))</f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 t="inlineStr">
        <is>
          <t xml:space="preserve"/>
        </is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>
        <f>IF(E859="","",IF(OR(ISNUMBER(SEARCH("狼",E859)),ISNUMBER(SEARCH("石像鬼",E859)),ISNUMBER(SEARCH("恶灵骑士",E859)),ISNUMBER(SEARCH("黑蝙蝠",E859)),ISNUMBER(SEARCH("血月使徒",E859))),"werewolves","villagers"))</f>
      </c>
      <c r="M859" s="0">
        <f>IF(F859="","",IF(ROUND(F859,2)=5,"win","loss"))</f>
      </c>
      <c r="N859" s="0" t="inlineStr">
        <is>
          <t xml:space="preserve"/>
        </is>
      </c>
      <c r="O859" s="0" t="inlineStr">
        <is>
          <t xml:space="preserve"/>
        </is>
      </c>
      <c r="P859" s="0" t="inlineStr">
        <is>
          <t xml:space="preserve"/>
        </is>
      </c>
      <c r="Q859" s="0" t="inlineStr">
        <is>
          <t xml:space="preserve"/>
        </is>
      </c>
      <c r="R859" s="0">
        <f>IF(D859="","",IFERROR(LOOKUP(2,1/(($D$2:$D$1001=D859)*($M$2:$M$1001="win")),$L$2:$L$1001),""))</f>
      </c>
      <c r="S859" s="0" t="inlineStr">
        <is>
          <t xml:space="preserve"/>
        </is>
      </c>
      <c r="T859" s="0" t="inlineStr">
        <is>
          <t xml:space="preserve"/>
        </is>
      </c>
      <c r="U859" s="0" t="inlineStr">
        <is>
          <t xml:space="preserve"/>
        </is>
      </c>
      <c r="V859" s="0" t="inlineStr">
        <is>
          <t xml:space="preserve"/>
        </is>
      </c>
      <c r="W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 t="inlineStr">
        <is>
          <t xml:space="preserve"/>
        </is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>
        <f>IF(E860="","",IF(OR(ISNUMBER(SEARCH("狼",E860)),ISNUMBER(SEARCH("石像鬼",E860)),ISNUMBER(SEARCH("恶灵骑士",E860)),ISNUMBER(SEARCH("黑蝙蝠",E860)),ISNUMBER(SEARCH("血月使徒",E860))),"werewolves","villagers"))</f>
      </c>
      <c r="M860" s="0">
        <f>IF(F860="","",IF(ROUND(F860,2)=5,"win","loss"))</f>
      </c>
      <c r="N860" s="0" t="inlineStr">
        <is>
          <t xml:space="preserve"/>
        </is>
      </c>
      <c r="O860" s="0" t="inlineStr">
        <is>
          <t xml:space="preserve"/>
        </is>
      </c>
      <c r="P860" s="0" t="inlineStr">
        <is>
          <t xml:space="preserve"/>
        </is>
      </c>
      <c r="Q860" s="0" t="inlineStr">
        <is>
          <t xml:space="preserve"/>
        </is>
      </c>
      <c r="R860" s="0">
        <f>IF(D860="","",IFERROR(LOOKUP(2,1/(($D$2:$D$1001=D860)*($M$2:$M$1001="win")),$L$2:$L$1001),""))</f>
      </c>
      <c r="S860" s="0" t="inlineStr">
        <is>
          <t xml:space="preserve"/>
        </is>
      </c>
      <c r="T860" s="0" t="inlineStr">
        <is>
          <t xml:space="preserve"/>
        </is>
      </c>
      <c r="U860" s="0" t="inlineStr">
        <is>
          <t xml:space="preserve"/>
        </is>
      </c>
      <c r="V860" s="0" t="inlineStr">
        <is>
          <t xml:space="preserve"/>
        </is>
      </c>
      <c r="W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 t="inlineStr">
        <is>
          <t xml:space="preserve"/>
        </is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>
        <f>IF(E861="","",IF(OR(ISNUMBER(SEARCH("狼",E861)),ISNUMBER(SEARCH("石像鬼",E861)),ISNUMBER(SEARCH("恶灵骑士",E861)),ISNUMBER(SEARCH("黑蝙蝠",E861)),ISNUMBER(SEARCH("血月使徒",E861))),"werewolves","villagers"))</f>
      </c>
      <c r="M861" s="0">
        <f>IF(F861="","",IF(ROUND(F861,2)=5,"win","loss"))</f>
      </c>
      <c r="N861" s="0" t="inlineStr">
        <is>
          <t xml:space="preserve"/>
        </is>
      </c>
      <c r="O861" s="0" t="inlineStr">
        <is>
          <t xml:space="preserve"/>
        </is>
      </c>
      <c r="P861" s="0" t="inlineStr">
        <is>
          <t xml:space="preserve"/>
        </is>
      </c>
      <c r="Q861" s="0" t="inlineStr">
        <is>
          <t xml:space="preserve"/>
        </is>
      </c>
      <c r="R861" s="0">
        <f>IF(D861="","",IFERROR(LOOKUP(2,1/(($D$2:$D$1001=D861)*($M$2:$M$1001="win")),$L$2:$L$1001),""))</f>
      </c>
      <c r="S861" s="0" t="inlineStr">
        <is>
          <t xml:space="preserve"/>
        </is>
      </c>
      <c r="T861" s="0" t="inlineStr">
        <is>
          <t xml:space="preserve"/>
        </is>
      </c>
      <c r="U861" s="0" t="inlineStr">
        <is>
          <t xml:space="preserve"/>
        </is>
      </c>
      <c r="V861" s="0" t="inlineStr">
        <is>
          <t xml:space="preserve"/>
        </is>
      </c>
      <c r="W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>
        <f>IF(E862="","",IF(OR(ISNUMBER(SEARCH("狼",E862)),ISNUMBER(SEARCH("石像鬼",E862)),ISNUMBER(SEARCH("恶灵骑士",E862)),ISNUMBER(SEARCH("黑蝙蝠",E862)),ISNUMBER(SEARCH("血月使徒",E862))),"werewolves","villagers"))</f>
      </c>
      <c r="M862" s="0">
        <f>IF(F862="","",IF(ROUND(F862,2)=5,"win","loss"))</f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>
        <f>IF(D862="","",IFERROR(LOOKUP(2,1/(($D$2:$D$1001=D862)*($M$2:$M$1001="win")),$L$2:$L$1001),""))</f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>
        <f>IF(E863="","",IF(OR(ISNUMBER(SEARCH("狼",E863)),ISNUMBER(SEARCH("石像鬼",E863)),ISNUMBER(SEARCH("恶灵骑士",E863)),ISNUMBER(SEARCH("黑蝙蝠",E863)),ISNUMBER(SEARCH("血月使徒",E863))),"werewolves","villagers"))</f>
      </c>
      <c r="M863" s="0">
        <f>IF(F863="","",IF(ROUND(F863,2)=5,"win","loss"))</f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>
        <f>IF(D863="","",IFERROR(LOOKUP(2,1/(($D$2:$D$1001=D863)*($M$2:$M$1001="win")),$L$2:$L$1001),""))</f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 t="inlineStr">
        <is>
          <t xml:space="preserve"/>
        </is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>
        <f>IF(E864="","",IF(OR(ISNUMBER(SEARCH("狼",E864)),ISNUMBER(SEARCH("石像鬼",E864)),ISNUMBER(SEARCH("恶灵骑士",E864)),ISNUMBER(SEARCH("黑蝙蝠",E864)),ISNUMBER(SEARCH("血月使徒",E864))),"werewolves","villagers"))</f>
      </c>
      <c r="M864" s="0">
        <f>IF(F864="","",IF(ROUND(F864,2)=5,"win","loss"))</f>
      </c>
      <c r="N864" s="0" t="inlineStr">
        <is>
          <t xml:space="preserve"/>
        </is>
      </c>
      <c r="O864" s="0" t="inlineStr">
        <is>
          <t xml:space="preserve"/>
        </is>
      </c>
      <c r="P864" s="0" t="inlineStr">
        <is>
          <t xml:space="preserve"/>
        </is>
      </c>
      <c r="Q864" s="0" t="inlineStr">
        <is>
          <t xml:space="preserve"/>
        </is>
      </c>
      <c r="R864" s="0">
        <f>IF(D864="","",IFERROR(LOOKUP(2,1/(($D$2:$D$1001=D864)*($M$2:$M$1001="win")),$L$2:$L$1001),""))</f>
      </c>
      <c r="S864" s="0" t="inlineStr">
        <is>
          <t xml:space="preserve"/>
        </is>
      </c>
      <c r="T864" s="0" t="inlineStr">
        <is>
          <t xml:space="preserve"/>
        </is>
      </c>
      <c r="U864" s="0" t="inlineStr">
        <is>
          <t xml:space="preserve"/>
        </is>
      </c>
      <c r="V864" s="0" t="inlineStr">
        <is>
          <t xml:space="preserve"/>
        </is>
      </c>
      <c r="W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>
        <f>IF(E865="","",IF(OR(ISNUMBER(SEARCH("狼",E865)),ISNUMBER(SEARCH("石像鬼",E865)),ISNUMBER(SEARCH("恶灵骑士",E865)),ISNUMBER(SEARCH("黑蝙蝠",E865)),ISNUMBER(SEARCH("血月使徒",E865))),"werewolves","villagers"))</f>
      </c>
      <c r="M865" s="0">
        <f>IF(F865="","",IF(ROUND(F865,2)=5,"win","loss"))</f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>
        <f>IF(D865="","",IFERROR(LOOKUP(2,1/(($D$2:$D$1001=D865)*($M$2:$M$1001="win")),$L$2:$L$1001),""))</f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 t="inlineStr">
        <is>
          <t xml:space="preserve"/>
        </is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>
        <f>IF(E866="","",IF(OR(ISNUMBER(SEARCH("狼",E866)),ISNUMBER(SEARCH("石像鬼",E866)),ISNUMBER(SEARCH("恶灵骑士",E866)),ISNUMBER(SEARCH("黑蝙蝠",E866)),ISNUMBER(SEARCH("血月使徒",E866))),"werewolves","villagers"))</f>
      </c>
      <c r="M866" s="0">
        <f>IF(F866="","",IF(ROUND(F866,2)=5,"win","loss"))</f>
      </c>
      <c r="N866" s="0" t="inlineStr">
        <is>
          <t xml:space="preserve"/>
        </is>
      </c>
      <c r="O866" s="0" t="inlineStr">
        <is>
          <t xml:space="preserve"/>
        </is>
      </c>
      <c r="P866" s="0" t="inlineStr">
        <is>
          <t xml:space="preserve"/>
        </is>
      </c>
      <c r="Q866" s="0" t="inlineStr">
        <is>
          <t xml:space="preserve"/>
        </is>
      </c>
      <c r="R866" s="0">
        <f>IF(D866="","",IFERROR(LOOKUP(2,1/(($D$2:$D$1001=D866)*($M$2:$M$1001="win")),$L$2:$L$1001),""))</f>
      </c>
      <c r="S866" s="0" t="inlineStr">
        <is>
          <t xml:space="preserve"/>
        </is>
      </c>
      <c r="T866" s="0" t="inlineStr">
        <is>
          <t xml:space="preserve"/>
        </is>
      </c>
      <c r="U866" s="0" t="inlineStr">
        <is>
          <t xml:space="preserve"/>
        </is>
      </c>
      <c r="V866" s="0" t="inlineStr">
        <is>
          <t xml:space="preserve"/>
        </is>
      </c>
      <c r="W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 t="inlineStr">
        <is>
          <t xml:space="preserve"/>
        </is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>
        <f>IF(E867="","",IF(OR(ISNUMBER(SEARCH("狼",E867)),ISNUMBER(SEARCH("石像鬼",E867)),ISNUMBER(SEARCH("恶灵骑士",E867)),ISNUMBER(SEARCH("黑蝙蝠",E867)),ISNUMBER(SEARCH("血月使徒",E867))),"werewolves","villagers"))</f>
      </c>
      <c r="M867" s="0">
        <f>IF(F867="","",IF(ROUND(F867,2)=5,"win","loss"))</f>
      </c>
      <c r="N867" s="0" t="inlineStr">
        <is>
          <t xml:space="preserve"/>
        </is>
      </c>
      <c r="O867" s="0" t="inlineStr">
        <is>
          <t xml:space="preserve"/>
        </is>
      </c>
      <c r="P867" s="0" t="inlineStr">
        <is>
          <t xml:space="preserve"/>
        </is>
      </c>
      <c r="Q867" s="0" t="inlineStr">
        <is>
          <t xml:space="preserve"/>
        </is>
      </c>
      <c r="R867" s="0">
        <f>IF(D867="","",IFERROR(LOOKUP(2,1/(($D$2:$D$1001=D867)*($M$2:$M$1001="win")),$L$2:$L$1001),""))</f>
      </c>
      <c r="S867" s="0" t="inlineStr">
        <is>
          <t xml:space="preserve"/>
        </is>
      </c>
      <c r="T867" s="0" t="inlineStr">
        <is>
          <t xml:space="preserve"/>
        </is>
      </c>
      <c r="U867" s="0" t="inlineStr">
        <is>
          <t xml:space="preserve"/>
        </is>
      </c>
      <c r="V867" s="0" t="inlineStr">
        <is>
          <t xml:space="preserve"/>
        </is>
      </c>
      <c r="W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 t="inlineStr">
        <is>
          <t xml:space="preserve"/>
        </is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>
        <f>IF(E868="","",IF(OR(ISNUMBER(SEARCH("狼",E868)),ISNUMBER(SEARCH("石像鬼",E868)),ISNUMBER(SEARCH("恶灵骑士",E868)),ISNUMBER(SEARCH("黑蝙蝠",E868)),ISNUMBER(SEARCH("血月使徒",E868))),"werewolves","villagers"))</f>
      </c>
      <c r="M868" s="0">
        <f>IF(F868="","",IF(ROUND(F868,2)=5,"win","loss"))</f>
      </c>
      <c r="N868" s="0" t="inlineStr">
        <is>
          <t xml:space="preserve"/>
        </is>
      </c>
      <c r="O868" s="0" t="inlineStr">
        <is>
          <t xml:space="preserve"/>
        </is>
      </c>
      <c r="P868" s="0" t="inlineStr">
        <is>
          <t xml:space="preserve"/>
        </is>
      </c>
      <c r="Q868" s="0" t="inlineStr">
        <is>
          <t xml:space="preserve"/>
        </is>
      </c>
      <c r="R868" s="0">
        <f>IF(D868="","",IFERROR(LOOKUP(2,1/(($D$2:$D$1001=D868)*($M$2:$M$1001="win")),$L$2:$L$1001),""))</f>
      </c>
      <c r="S868" s="0" t="inlineStr">
        <is>
          <t xml:space="preserve"/>
        </is>
      </c>
      <c r="T868" s="0" t="inlineStr">
        <is>
          <t xml:space="preserve"/>
        </is>
      </c>
      <c r="U868" s="0" t="inlineStr">
        <is>
          <t xml:space="preserve"/>
        </is>
      </c>
      <c r="V868" s="0" t="inlineStr">
        <is>
          <t xml:space="preserve"/>
        </is>
      </c>
      <c r="W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>
        <f>IF(E869="","",IF(OR(ISNUMBER(SEARCH("狼",E869)),ISNUMBER(SEARCH("石像鬼",E869)),ISNUMBER(SEARCH("恶灵骑士",E869)),ISNUMBER(SEARCH("黑蝙蝠",E869)),ISNUMBER(SEARCH("血月使徒",E869))),"werewolves","villagers"))</f>
      </c>
      <c r="M869" s="0">
        <f>IF(F869="","",IF(ROUND(F869,2)=5,"win","loss"))</f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>
        <f>IF(D869="","",IFERROR(LOOKUP(2,1/(($D$2:$D$1001=D869)*($M$2:$M$1001="win")),$L$2:$L$1001),""))</f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 t="inlineStr">
        <is>
          <t xml:space="preserve"/>
        </is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>
        <f>IF(E870="","",IF(OR(ISNUMBER(SEARCH("狼",E870)),ISNUMBER(SEARCH("石像鬼",E870)),ISNUMBER(SEARCH("恶灵骑士",E870)),ISNUMBER(SEARCH("黑蝙蝠",E870)),ISNUMBER(SEARCH("血月使徒",E870))),"werewolves","villagers"))</f>
      </c>
      <c r="M870" s="0">
        <f>IF(F870="","",IF(ROUND(F870,2)=5,"win","loss"))</f>
      </c>
      <c r="N870" s="0" t="inlineStr">
        <is>
          <t xml:space="preserve"/>
        </is>
      </c>
      <c r="O870" s="0" t="inlineStr">
        <is>
          <t xml:space="preserve"/>
        </is>
      </c>
      <c r="P870" s="0" t="inlineStr">
        <is>
          <t xml:space="preserve"/>
        </is>
      </c>
      <c r="Q870" s="0" t="inlineStr">
        <is>
          <t xml:space="preserve"/>
        </is>
      </c>
      <c r="R870" s="0">
        <f>IF(D870="","",IFERROR(LOOKUP(2,1/(($D$2:$D$1001=D870)*($M$2:$M$1001="win")),$L$2:$L$1001),""))</f>
      </c>
      <c r="S870" s="0" t="inlineStr">
        <is>
          <t xml:space="preserve"/>
        </is>
      </c>
      <c r="T870" s="0" t="inlineStr">
        <is>
          <t xml:space="preserve"/>
        </is>
      </c>
      <c r="U870" s="0" t="inlineStr">
        <is>
          <t xml:space="preserve"/>
        </is>
      </c>
      <c r="V870" s="0" t="inlineStr">
        <is>
          <t xml:space="preserve"/>
        </is>
      </c>
      <c r="W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 t="inlineStr">
        <is>
          <t xml:space="preserve"/>
        </is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>
        <f>IF(E871="","",IF(OR(ISNUMBER(SEARCH("狼",E871)),ISNUMBER(SEARCH("石像鬼",E871)),ISNUMBER(SEARCH("恶灵骑士",E871)),ISNUMBER(SEARCH("黑蝙蝠",E871)),ISNUMBER(SEARCH("血月使徒",E871))),"werewolves","villagers"))</f>
      </c>
      <c r="M871" s="0">
        <f>IF(F871="","",IF(ROUND(F871,2)=5,"win","loss"))</f>
      </c>
      <c r="N871" s="0" t="inlineStr">
        <is>
          <t xml:space="preserve"/>
        </is>
      </c>
      <c r="O871" s="0" t="inlineStr">
        <is>
          <t xml:space="preserve"/>
        </is>
      </c>
      <c r="P871" s="0" t="inlineStr">
        <is>
          <t xml:space="preserve"/>
        </is>
      </c>
      <c r="Q871" s="0" t="inlineStr">
        <is>
          <t xml:space="preserve"/>
        </is>
      </c>
      <c r="R871" s="0">
        <f>IF(D871="","",IFERROR(LOOKUP(2,1/(($D$2:$D$1001=D871)*($M$2:$M$1001="win")),$L$2:$L$1001),""))</f>
      </c>
      <c r="S871" s="0" t="inlineStr">
        <is>
          <t xml:space="preserve"/>
        </is>
      </c>
      <c r="T871" s="0" t="inlineStr">
        <is>
          <t xml:space="preserve"/>
        </is>
      </c>
      <c r="U871" s="0" t="inlineStr">
        <is>
          <t xml:space="preserve"/>
        </is>
      </c>
      <c r="V871" s="0" t="inlineStr">
        <is>
          <t xml:space="preserve"/>
        </is>
      </c>
      <c r="W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 t="inlineStr">
        <is>
          <t xml:space="preserve"/>
        </is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>
        <f>IF(E872="","",IF(OR(ISNUMBER(SEARCH("狼",E872)),ISNUMBER(SEARCH("石像鬼",E872)),ISNUMBER(SEARCH("恶灵骑士",E872)),ISNUMBER(SEARCH("黑蝙蝠",E872)),ISNUMBER(SEARCH("血月使徒",E872))),"werewolves","villagers"))</f>
      </c>
      <c r="M872" s="0">
        <f>IF(F872="","",IF(ROUND(F872,2)=5,"win","loss"))</f>
      </c>
      <c r="N872" s="0" t="inlineStr">
        <is>
          <t xml:space="preserve"/>
        </is>
      </c>
      <c r="O872" s="0" t="inlineStr">
        <is>
          <t xml:space="preserve"/>
        </is>
      </c>
      <c r="P872" s="0" t="inlineStr">
        <is>
          <t xml:space="preserve"/>
        </is>
      </c>
      <c r="Q872" s="0" t="inlineStr">
        <is>
          <t xml:space="preserve"/>
        </is>
      </c>
      <c r="R872" s="0">
        <f>IF(D872="","",IFERROR(LOOKUP(2,1/(($D$2:$D$1001=D872)*($M$2:$M$1001="win")),$L$2:$L$1001),""))</f>
      </c>
      <c r="S872" s="0" t="inlineStr">
        <is>
          <t xml:space="preserve"/>
        </is>
      </c>
      <c r="T872" s="0" t="inlineStr">
        <is>
          <t xml:space="preserve"/>
        </is>
      </c>
      <c r="U872" s="0" t="inlineStr">
        <is>
          <t xml:space="preserve"/>
        </is>
      </c>
      <c r="V872" s="0" t="inlineStr">
        <is>
          <t xml:space="preserve"/>
        </is>
      </c>
      <c r="W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>
        <f>IF(E873="","",IF(OR(ISNUMBER(SEARCH("狼",E873)),ISNUMBER(SEARCH("石像鬼",E873)),ISNUMBER(SEARCH("恶灵骑士",E873)),ISNUMBER(SEARCH("黑蝙蝠",E873)),ISNUMBER(SEARCH("血月使徒",E873))),"werewolves","villagers"))</f>
      </c>
      <c r="M873" s="0">
        <f>IF(F873="","",IF(ROUND(F873,2)=5,"win","loss"))</f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>
        <f>IF(D873="","",IFERROR(LOOKUP(2,1/(($D$2:$D$1001=D873)*($M$2:$M$1001="win")),$L$2:$L$1001),""))</f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 t="inlineStr">
        <is>
          <t xml:space="preserve"/>
        </is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>
        <f>IF(E874="","",IF(OR(ISNUMBER(SEARCH("狼",E874)),ISNUMBER(SEARCH("石像鬼",E874)),ISNUMBER(SEARCH("恶灵骑士",E874)),ISNUMBER(SEARCH("黑蝙蝠",E874)),ISNUMBER(SEARCH("血月使徒",E874))),"werewolves","villagers"))</f>
      </c>
      <c r="M874" s="0">
        <f>IF(F874="","",IF(ROUND(F874,2)=5,"win","loss"))</f>
      </c>
      <c r="N874" s="0" t="inlineStr">
        <is>
          <t xml:space="preserve"/>
        </is>
      </c>
      <c r="O874" s="0" t="inlineStr">
        <is>
          <t xml:space="preserve"/>
        </is>
      </c>
      <c r="P874" s="0" t="inlineStr">
        <is>
          <t xml:space="preserve"/>
        </is>
      </c>
      <c r="Q874" s="0" t="inlineStr">
        <is>
          <t xml:space="preserve"/>
        </is>
      </c>
      <c r="R874" s="0">
        <f>IF(D874="","",IFERROR(LOOKUP(2,1/(($D$2:$D$1001=D874)*($M$2:$M$1001="win")),$L$2:$L$1001),""))</f>
      </c>
      <c r="S874" s="0" t="inlineStr">
        <is>
          <t xml:space="preserve"/>
        </is>
      </c>
      <c r="T874" s="0" t="inlineStr">
        <is>
          <t xml:space="preserve"/>
        </is>
      </c>
      <c r="U874" s="0" t="inlineStr">
        <is>
          <t xml:space="preserve"/>
        </is>
      </c>
      <c r="V874" s="0" t="inlineStr">
        <is>
          <t xml:space="preserve"/>
        </is>
      </c>
      <c r="W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 t="inlineStr">
        <is>
          <t xml:space="preserve"/>
        </is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>
        <f>IF(E875="","",IF(OR(ISNUMBER(SEARCH("狼",E875)),ISNUMBER(SEARCH("石像鬼",E875)),ISNUMBER(SEARCH("恶灵骑士",E875)),ISNUMBER(SEARCH("黑蝙蝠",E875)),ISNUMBER(SEARCH("血月使徒",E875))),"werewolves","villagers"))</f>
      </c>
      <c r="M875" s="0">
        <f>IF(F875="","",IF(ROUND(F875,2)=5,"win","loss"))</f>
      </c>
      <c r="N875" s="0" t="inlineStr">
        <is>
          <t xml:space="preserve"/>
        </is>
      </c>
      <c r="O875" s="0" t="inlineStr">
        <is>
          <t xml:space="preserve"/>
        </is>
      </c>
      <c r="P875" s="0" t="inlineStr">
        <is>
          <t xml:space="preserve"/>
        </is>
      </c>
      <c r="Q875" s="0" t="inlineStr">
        <is>
          <t xml:space="preserve"/>
        </is>
      </c>
      <c r="R875" s="0">
        <f>IF(D875="","",IFERROR(LOOKUP(2,1/(($D$2:$D$1001=D875)*($M$2:$M$1001="win")),$L$2:$L$1001),""))</f>
      </c>
      <c r="S875" s="0" t="inlineStr">
        <is>
          <t xml:space="preserve"/>
        </is>
      </c>
      <c r="T875" s="0" t="inlineStr">
        <is>
          <t xml:space="preserve"/>
        </is>
      </c>
      <c r="U875" s="0" t="inlineStr">
        <is>
          <t xml:space="preserve"/>
        </is>
      </c>
      <c r="V875" s="0" t="inlineStr">
        <is>
          <t xml:space="preserve"/>
        </is>
      </c>
      <c r="W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 t="inlineStr">
        <is>
          <t xml:space="preserve"/>
        </is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>
        <f>IF(E876="","",IF(OR(ISNUMBER(SEARCH("狼",E876)),ISNUMBER(SEARCH("石像鬼",E876)),ISNUMBER(SEARCH("恶灵骑士",E876)),ISNUMBER(SEARCH("黑蝙蝠",E876)),ISNUMBER(SEARCH("血月使徒",E876))),"werewolves","villagers"))</f>
      </c>
      <c r="M876" s="0">
        <f>IF(F876="","",IF(ROUND(F876,2)=5,"win","loss"))</f>
      </c>
      <c r="N876" s="0" t="inlineStr">
        <is>
          <t xml:space="preserve"/>
        </is>
      </c>
      <c r="O876" s="0" t="inlineStr">
        <is>
          <t xml:space="preserve"/>
        </is>
      </c>
      <c r="P876" s="0" t="inlineStr">
        <is>
          <t xml:space="preserve"/>
        </is>
      </c>
      <c r="Q876" s="0" t="inlineStr">
        <is>
          <t xml:space="preserve"/>
        </is>
      </c>
      <c r="R876" s="0">
        <f>IF(D876="","",IFERROR(LOOKUP(2,1/(($D$2:$D$1001=D876)*($M$2:$M$1001="win")),$L$2:$L$1001),""))</f>
      </c>
      <c r="S876" s="0" t="inlineStr">
        <is>
          <t xml:space="preserve"/>
        </is>
      </c>
      <c r="T876" s="0" t="inlineStr">
        <is>
          <t xml:space="preserve"/>
        </is>
      </c>
      <c r="U876" s="0" t="inlineStr">
        <is>
          <t xml:space="preserve"/>
        </is>
      </c>
      <c r="V876" s="0" t="inlineStr">
        <is>
          <t xml:space="preserve"/>
        </is>
      </c>
      <c r="W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 t="inlineStr">
        <is>
          <t xml:space="preserve"/>
        </is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>
        <f>IF(E877="","",IF(OR(ISNUMBER(SEARCH("狼",E877)),ISNUMBER(SEARCH("石像鬼",E877)),ISNUMBER(SEARCH("恶灵骑士",E877)),ISNUMBER(SEARCH("黑蝙蝠",E877)),ISNUMBER(SEARCH("血月使徒",E877))),"werewolves","villagers"))</f>
      </c>
      <c r="M877" s="0">
        <f>IF(F877="","",IF(ROUND(F877,2)=5,"win","loss"))</f>
      </c>
      <c r="N877" s="0" t="inlineStr">
        <is>
          <t xml:space="preserve"/>
        </is>
      </c>
      <c r="O877" s="0" t="inlineStr">
        <is>
          <t xml:space="preserve"/>
        </is>
      </c>
      <c r="P877" s="0" t="inlineStr">
        <is>
          <t xml:space="preserve"/>
        </is>
      </c>
      <c r="Q877" s="0" t="inlineStr">
        <is>
          <t xml:space="preserve"/>
        </is>
      </c>
      <c r="R877" s="0">
        <f>IF(D877="","",IFERROR(LOOKUP(2,1/(($D$2:$D$1001=D877)*($M$2:$M$1001="win")),$L$2:$L$1001),""))</f>
      </c>
      <c r="S877" s="0" t="inlineStr">
        <is>
          <t xml:space="preserve"/>
        </is>
      </c>
      <c r="T877" s="0" t="inlineStr">
        <is>
          <t xml:space="preserve"/>
        </is>
      </c>
      <c r="U877" s="0" t="inlineStr">
        <is>
          <t xml:space="preserve"/>
        </is>
      </c>
      <c r="V877" s="0" t="inlineStr">
        <is>
          <t xml:space="preserve"/>
        </is>
      </c>
      <c r="W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 t="inlineStr">
        <is>
          <t xml:space="preserve"/>
        </is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>
        <f>IF(E878="","",IF(OR(ISNUMBER(SEARCH("狼",E878)),ISNUMBER(SEARCH("石像鬼",E878)),ISNUMBER(SEARCH("恶灵骑士",E878)),ISNUMBER(SEARCH("黑蝙蝠",E878)),ISNUMBER(SEARCH("血月使徒",E878))),"werewolves","villagers"))</f>
      </c>
      <c r="M878" s="0">
        <f>IF(F878="","",IF(ROUND(F878,2)=5,"win","loss"))</f>
      </c>
      <c r="N878" s="0" t="inlineStr">
        <is>
          <t xml:space="preserve"/>
        </is>
      </c>
      <c r="O878" s="0" t="inlineStr">
        <is>
          <t xml:space="preserve"/>
        </is>
      </c>
      <c r="P878" s="0" t="inlineStr">
        <is>
          <t xml:space="preserve"/>
        </is>
      </c>
      <c r="Q878" s="0" t="inlineStr">
        <is>
          <t xml:space="preserve"/>
        </is>
      </c>
      <c r="R878" s="0">
        <f>IF(D878="","",IFERROR(LOOKUP(2,1/(($D$2:$D$1001=D878)*($M$2:$M$1001="win")),$L$2:$L$1001),""))</f>
      </c>
      <c r="S878" s="0" t="inlineStr">
        <is>
          <t xml:space="preserve"/>
        </is>
      </c>
      <c r="T878" s="0" t="inlineStr">
        <is>
          <t xml:space="preserve"/>
        </is>
      </c>
      <c r="U878" s="0" t="inlineStr">
        <is>
          <t xml:space="preserve"/>
        </is>
      </c>
      <c r="V878" s="0" t="inlineStr">
        <is>
          <t xml:space="preserve"/>
        </is>
      </c>
      <c r="W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 t="inlineStr">
        <is>
          <t xml:space="preserve"/>
        </is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>
        <f>IF(E879="","",IF(OR(ISNUMBER(SEARCH("狼",E879)),ISNUMBER(SEARCH("石像鬼",E879)),ISNUMBER(SEARCH("恶灵骑士",E879)),ISNUMBER(SEARCH("黑蝙蝠",E879)),ISNUMBER(SEARCH("血月使徒",E879))),"werewolves","villagers"))</f>
      </c>
      <c r="M879" s="0">
        <f>IF(F879="","",IF(ROUND(F879,2)=5,"win","loss"))</f>
      </c>
      <c r="N879" s="0" t="inlineStr">
        <is>
          <t xml:space="preserve"/>
        </is>
      </c>
      <c r="O879" s="0" t="inlineStr">
        <is>
          <t xml:space="preserve"/>
        </is>
      </c>
      <c r="P879" s="0" t="inlineStr">
        <is>
          <t xml:space="preserve"/>
        </is>
      </c>
      <c r="Q879" s="0" t="inlineStr">
        <is>
          <t xml:space="preserve"/>
        </is>
      </c>
      <c r="R879" s="0">
        <f>IF(D879="","",IFERROR(LOOKUP(2,1/(($D$2:$D$1001=D879)*($M$2:$M$1001="win")),$L$2:$L$1001),""))</f>
      </c>
      <c r="S879" s="0" t="inlineStr">
        <is>
          <t xml:space="preserve"/>
        </is>
      </c>
      <c r="T879" s="0" t="inlineStr">
        <is>
          <t xml:space="preserve"/>
        </is>
      </c>
      <c r="U879" s="0" t="inlineStr">
        <is>
          <t xml:space="preserve"/>
        </is>
      </c>
      <c r="V879" s="0" t="inlineStr">
        <is>
          <t xml:space="preserve"/>
        </is>
      </c>
      <c r="W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 t="inlineStr">
        <is>
          <t xml:space="preserve"/>
        </is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>
        <f>IF(E880="","",IF(OR(ISNUMBER(SEARCH("狼",E880)),ISNUMBER(SEARCH("石像鬼",E880)),ISNUMBER(SEARCH("恶灵骑士",E880)),ISNUMBER(SEARCH("黑蝙蝠",E880)),ISNUMBER(SEARCH("血月使徒",E880))),"werewolves","villagers"))</f>
      </c>
      <c r="M880" s="0">
        <f>IF(F880="","",IF(ROUND(F880,2)=5,"win","loss"))</f>
      </c>
      <c r="N880" s="0" t="inlineStr">
        <is>
          <t xml:space="preserve"/>
        </is>
      </c>
      <c r="O880" s="0" t="inlineStr">
        <is>
          <t xml:space="preserve"/>
        </is>
      </c>
      <c r="P880" s="0" t="inlineStr">
        <is>
          <t xml:space="preserve"/>
        </is>
      </c>
      <c r="Q880" s="0" t="inlineStr">
        <is>
          <t xml:space="preserve"/>
        </is>
      </c>
      <c r="R880" s="0">
        <f>IF(D880="","",IFERROR(LOOKUP(2,1/(($D$2:$D$1001=D880)*($M$2:$M$1001="win")),$L$2:$L$1001),""))</f>
      </c>
      <c r="S880" s="0" t="inlineStr">
        <is>
          <t xml:space="preserve"/>
        </is>
      </c>
      <c r="T880" s="0" t="inlineStr">
        <is>
          <t xml:space="preserve"/>
        </is>
      </c>
      <c r="U880" s="0" t="inlineStr">
        <is>
          <t xml:space="preserve"/>
        </is>
      </c>
      <c r="V880" s="0" t="inlineStr">
        <is>
          <t xml:space="preserve"/>
        </is>
      </c>
      <c r="W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 t="inlineStr">
        <is>
          <t xml:space="preserve"/>
        </is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>
        <f>IF(E881="","",IF(OR(ISNUMBER(SEARCH("狼",E881)),ISNUMBER(SEARCH("石像鬼",E881)),ISNUMBER(SEARCH("恶灵骑士",E881)),ISNUMBER(SEARCH("黑蝙蝠",E881)),ISNUMBER(SEARCH("血月使徒",E881))),"werewolves","villagers"))</f>
      </c>
      <c r="M881" s="0">
        <f>IF(F881="","",IF(ROUND(F881,2)=5,"win","loss"))</f>
      </c>
      <c r="N881" s="0" t="inlineStr">
        <is>
          <t xml:space="preserve"/>
        </is>
      </c>
      <c r="O881" s="0" t="inlineStr">
        <is>
          <t xml:space="preserve"/>
        </is>
      </c>
      <c r="P881" s="0" t="inlineStr">
        <is>
          <t xml:space="preserve"/>
        </is>
      </c>
      <c r="Q881" s="0" t="inlineStr">
        <is>
          <t xml:space="preserve"/>
        </is>
      </c>
      <c r="R881" s="0">
        <f>IF(D881="","",IFERROR(LOOKUP(2,1/(($D$2:$D$1001=D881)*($M$2:$M$1001="win")),$L$2:$L$1001),""))</f>
      </c>
      <c r="S881" s="0" t="inlineStr">
        <is>
          <t xml:space="preserve"/>
        </is>
      </c>
      <c r="T881" s="0" t="inlineStr">
        <is>
          <t xml:space="preserve"/>
        </is>
      </c>
      <c r="U881" s="0" t="inlineStr">
        <is>
          <t xml:space="preserve"/>
        </is>
      </c>
      <c r="V881" s="0" t="inlineStr">
        <is>
          <t xml:space="preserve"/>
        </is>
      </c>
      <c r="W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>
        <f>IF(E882="","",IF(OR(ISNUMBER(SEARCH("狼",E882)),ISNUMBER(SEARCH("石像鬼",E882)),ISNUMBER(SEARCH("恶灵骑士",E882)),ISNUMBER(SEARCH("黑蝙蝠",E882)),ISNUMBER(SEARCH("血月使徒",E882))),"werewolves","villagers"))</f>
      </c>
      <c r="M882" s="0">
        <f>IF(F882="","",IF(ROUND(F882,2)=5,"win","loss"))</f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>
        <f>IF(D882="","",IFERROR(LOOKUP(2,1/(($D$2:$D$1001=D882)*($M$2:$M$1001="win")),$L$2:$L$1001),""))</f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 t="inlineStr">
        <is>
          <t xml:space="preserve"/>
        </is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>
        <f>IF(E883="","",IF(OR(ISNUMBER(SEARCH("狼",E883)),ISNUMBER(SEARCH("石像鬼",E883)),ISNUMBER(SEARCH("恶灵骑士",E883)),ISNUMBER(SEARCH("黑蝙蝠",E883)),ISNUMBER(SEARCH("血月使徒",E883))),"werewolves","villagers"))</f>
      </c>
      <c r="M883" s="0">
        <f>IF(F883="","",IF(ROUND(F883,2)=5,"win","loss"))</f>
      </c>
      <c r="N883" s="0" t="inlineStr">
        <is>
          <t xml:space="preserve"/>
        </is>
      </c>
      <c r="O883" s="0" t="inlineStr">
        <is>
          <t xml:space="preserve"/>
        </is>
      </c>
      <c r="P883" s="0" t="inlineStr">
        <is>
          <t xml:space="preserve"/>
        </is>
      </c>
      <c r="Q883" s="0" t="inlineStr">
        <is>
          <t xml:space="preserve"/>
        </is>
      </c>
      <c r="R883" s="0">
        <f>IF(D883="","",IFERROR(LOOKUP(2,1/(($D$2:$D$1001=D883)*($M$2:$M$1001="win")),$L$2:$L$1001),""))</f>
      </c>
      <c r="S883" s="0" t="inlineStr">
        <is>
          <t xml:space="preserve"/>
        </is>
      </c>
      <c r="T883" s="0" t="inlineStr">
        <is>
          <t xml:space="preserve"/>
        </is>
      </c>
      <c r="U883" s="0" t="inlineStr">
        <is>
          <t xml:space="preserve"/>
        </is>
      </c>
      <c r="V883" s="0" t="inlineStr">
        <is>
          <t xml:space="preserve"/>
        </is>
      </c>
      <c r="W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>
        <f>IF(E884="","",IF(OR(ISNUMBER(SEARCH("狼",E884)),ISNUMBER(SEARCH("石像鬼",E884)),ISNUMBER(SEARCH("恶灵骑士",E884)),ISNUMBER(SEARCH("黑蝙蝠",E884)),ISNUMBER(SEARCH("血月使徒",E884))),"werewolves","villagers"))</f>
      </c>
      <c r="M884" s="0">
        <f>IF(F884="","",IF(ROUND(F884,2)=5,"win","loss"))</f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>
        <f>IF(D884="","",IFERROR(LOOKUP(2,1/(($D$2:$D$1001=D884)*($M$2:$M$1001="win")),$L$2:$L$1001),""))</f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 t="inlineStr">
        <is>
          <t xml:space="preserve"/>
        </is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>
        <f>IF(E885="","",IF(OR(ISNUMBER(SEARCH("狼",E885)),ISNUMBER(SEARCH("石像鬼",E885)),ISNUMBER(SEARCH("恶灵骑士",E885)),ISNUMBER(SEARCH("黑蝙蝠",E885)),ISNUMBER(SEARCH("血月使徒",E885))),"werewolves","villagers"))</f>
      </c>
      <c r="M885" s="0">
        <f>IF(F885="","",IF(ROUND(F885,2)=5,"win","loss"))</f>
      </c>
      <c r="N885" s="0" t="inlineStr">
        <is>
          <t xml:space="preserve"/>
        </is>
      </c>
      <c r="O885" s="0" t="inlineStr">
        <is>
          <t xml:space="preserve"/>
        </is>
      </c>
      <c r="P885" s="0" t="inlineStr">
        <is>
          <t xml:space="preserve"/>
        </is>
      </c>
      <c r="Q885" s="0" t="inlineStr">
        <is>
          <t xml:space="preserve"/>
        </is>
      </c>
      <c r="R885" s="0">
        <f>IF(D885="","",IFERROR(LOOKUP(2,1/(($D$2:$D$1001=D885)*($M$2:$M$1001="win")),$L$2:$L$1001),""))</f>
      </c>
      <c r="S885" s="0" t="inlineStr">
        <is>
          <t xml:space="preserve"/>
        </is>
      </c>
      <c r="T885" s="0" t="inlineStr">
        <is>
          <t xml:space="preserve"/>
        </is>
      </c>
      <c r="U885" s="0" t="inlineStr">
        <is>
          <t xml:space="preserve"/>
        </is>
      </c>
      <c r="V885" s="0" t="inlineStr">
        <is>
          <t xml:space="preserve"/>
        </is>
      </c>
      <c r="W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 t="inlineStr">
        <is>
          <t xml:space="preserve"/>
        </is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>
        <f>IF(E886="","",IF(OR(ISNUMBER(SEARCH("狼",E886)),ISNUMBER(SEARCH("石像鬼",E886)),ISNUMBER(SEARCH("恶灵骑士",E886)),ISNUMBER(SEARCH("黑蝙蝠",E886)),ISNUMBER(SEARCH("血月使徒",E886))),"werewolves","villagers"))</f>
      </c>
      <c r="M886" s="0">
        <f>IF(F886="","",IF(ROUND(F886,2)=5,"win","loss"))</f>
      </c>
      <c r="N886" s="0" t="inlineStr">
        <is>
          <t xml:space="preserve"/>
        </is>
      </c>
      <c r="O886" s="0" t="inlineStr">
        <is>
          <t xml:space="preserve"/>
        </is>
      </c>
      <c r="P886" s="0" t="inlineStr">
        <is>
          <t xml:space="preserve"/>
        </is>
      </c>
      <c r="Q886" s="0" t="inlineStr">
        <is>
          <t xml:space="preserve"/>
        </is>
      </c>
      <c r="R886" s="0">
        <f>IF(D886="","",IFERROR(LOOKUP(2,1/(($D$2:$D$1001=D886)*($M$2:$M$1001="win")),$L$2:$L$1001),""))</f>
      </c>
      <c r="S886" s="0" t="inlineStr">
        <is>
          <t xml:space="preserve"/>
        </is>
      </c>
      <c r="T886" s="0" t="inlineStr">
        <is>
          <t xml:space="preserve"/>
        </is>
      </c>
      <c r="U886" s="0" t="inlineStr">
        <is>
          <t xml:space="preserve"/>
        </is>
      </c>
      <c r="V886" s="0" t="inlineStr">
        <is>
          <t xml:space="preserve"/>
        </is>
      </c>
      <c r="W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 t="inlineStr">
        <is>
          <t xml:space="preserve"/>
        </is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>
        <f>IF(E887="","",IF(OR(ISNUMBER(SEARCH("狼",E887)),ISNUMBER(SEARCH("石像鬼",E887)),ISNUMBER(SEARCH("恶灵骑士",E887)),ISNUMBER(SEARCH("黑蝙蝠",E887)),ISNUMBER(SEARCH("血月使徒",E887))),"werewolves","villagers"))</f>
      </c>
      <c r="M887" s="0">
        <f>IF(F887="","",IF(ROUND(F887,2)=5,"win","loss"))</f>
      </c>
      <c r="N887" s="0" t="inlineStr">
        <is>
          <t xml:space="preserve"/>
        </is>
      </c>
      <c r="O887" s="0" t="inlineStr">
        <is>
          <t xml:space="preserve"/>
        </is>
      </c>
      <c r="P887" s="0" t="inlineStr">
        <is>
          <t xml:space="preserve"/>
        </is>
      </c>
      <c r="Q887" s="0" t="inlineStr">
        <is>
          <t xml:space="preserve"/>
        </is>
      </c>
      <c r="R887" s="0">
        <f>IF(D887="","",IFERROR(LOOKUP(2,1/(($D$2:$D$1001=D887)*($M$2:$M$1001="win")),$L$2:$L$1001),""))</f>
      </c>
      <c r="S887" s="0" t="inlineStr">
        <is>
          <t xml:space="preserve"/>
        </is>
      </c>
      <c r="T887" s="0" t="inlineStr">
        <is>
          <t xml:space="preserve"/>
        </is>
      </c>
      <c r="U887" s="0" t="inlineStr">
        <is>
          <t xml:space="preserve"/>
        </is>
      </c>
      <c r="V887" s="0" t="inlineStr">
        <is>
          <t xml:space="preserve"/>
        </is>
      </c>
      <c r="W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 t="inlineStr">
        <is>
          <t xml:space="preserve"/>
        </is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>
        <f>IF(E888="","",IF(OR(ISNUMBER(SEARCH("狼",E888)),ISNUMBER(SEARCH("石像鬼",E888)),ISNUMBER(SEARCH("恶灵骑士",E888)),ISNUMBER(SEARCH("黑蝙蝠",E888)),ISNUMBER(SEARCH("血月使徒",E888))),"werewolves","villagers"))</f>
      </c>
      <c r="M888" s="0">
        <f>IF(F888="","",IF(ROUND(F888,2)=5,"win","loss"))</f>
      </c>
      <c r="N888" s="0" t="inlineStr">
        <is>
          <t xml:space="preserve"/>
        </is>
      </c>
      <c r="O888" s="0" t="inlineStr">
        <is>
          <t xml:space="preserve"/>
        </is>
      </c>
      <c r="P888" s="0" t="inlineStr">
        <is>
          <t xml:space="preserve"/>
        </is>
      </c>
      <c r="Q888" s="0" t="inlineStr">
        <is>
          <t xml:space="preserve"/>
        </is>
      </c>
      <c r="R888" s="0">
        <f>IF(D888="","",IFERROR(LOOKUP(2,1/(($D$2:$D$1001=D888)*($M$2:$M$1001="win")),$L$2:$L$1001),""))</f>
      </c>
      <c r="S888" s="0" t="inlineStr">
        <is>
          <t xml:space="preserve"/>
        </is>
      </c>
      <c r="T888" s="0" t="inlineStr">
        <is>
          <t xml:space="preserve"/>
        </is>
      </c>
      <c r="U888" s="0" t="inlineStr">
        <is>
          <t xml:space="preserve"/>
        </is>
      </c>
      <c r="V888" s="0" t="inlineStr">
        <is>
          <t xml:space="preserve"/>
        </is>
      </c>
      <c r="W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 t="inlineStr">
        <is>
          <t xml:space="preserve"/>
        </is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>
        <f>IF(E889="","",IF(OR(ISNUMBER(SEARCH("狼",E889)),ISNUMBER(SEARCH("石像鬼",E889)),ISNUMBER(SEARCH("恶灵骑士",E889)),ISNUMBER(SEARCH("黑蝙蝠",E889)),ISNUMBER(SEARCH("血月使徒",E889))),"werewolves","villagers"))</f>
      </c>
      <c r="M889" s="0">
        <f>IF(F889="","",IF(ROUND(F889,2)=5,"win","loss"))</f>
      </c>
      <c r="N889" s="0" t="inlineStr">
        <is>
          <t xml:space="preserve"/>
        </is>
      </c>
      <c r="O889" s="0" t="inlineStr">
        <is>
          <t xml:space="preserve"/>
        </is>
      </c>
      <c r="P889" s="0" t="inlineStr">
        <is>
          <t xml:space="preserve"/>
        </is>
      </c>
      <c r="Q889" s="0" t="inlineStr">
        <is>
          <t xml:space="preserve"/>
        </is>
      </c>
      <c r="R889" s="0">
        <f>IF(D889="","",IFERROR(LOOKUP(2,1/(($D$2:$D$1001=D889)*($M$2:$M$1001="win")),$L$2:$L$1001),""))</f>
      </c>
      <c r="S889" s="0" t="inlineStr">
        <is>
          <t xml:space="preserve"/>
        </is>
      </c>
      <c r="T889" s="0" t="inlineStr">
        <is>
          <t xml:space="preserve"/>
        </is>
      </c>
      <c r="U889" s="0" t="inlineStr">
        <is>
          <t xml:space="preserve"/>
        </is>
      </c>
      <c r="V889" s="0" t="inlineStr">
        <is>
          <t xml:space="preserve"/>
        </is>
      </c>
      <c r="W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 t="inlineStr">
        <is>
          <t xml:space="preserve"/>
        </is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>
        <f>IF(E890="","",IF(OR(ISNUMBER(SEARCH("狼",E890)),ISNUMBER(SEARCH("石像鬼",E890)),ISNUMBER(SEARCH("恶灵骑士",E890)),ISNUMBER(SEARCH("黑蝙蝠",E890)),ISNUMBER(SEARCH("血月使徒",E890))),"werewolves","villagers"))</f>
      </c>
      <c r="M890" s="0">
        <f>IF(F890="","",IF(ROUND(F890,2)=5,"win","loss"))</f>
      </c>
      <c r="N890" s="0" t="inlineStr">
        <is>
          <t xml:space="preserve"/>
        </is>
      </c>
      <c r="O890" s="0" t="inlineStr">
        <is>
          <t xml:space="preserve"/>
        </is>
      </c>
      <c r="P890" s="0" t="inlineStr">
        <is>
          <t xml:space="preserve"/>
        </is>
      </c>
      <c r="Q890" s="0" t="inlineStr">
        <is>
          <t xml:space="preserve"/>
        </is>
      </c>
      <c r="R890" s="0">
        <f>IF(D890="","",IFERROR(LOOKUP(2,1/(($D$2:$D$1001=D890)*($M$2:$M$1001="win")),$L$2:$L$1001),""))</f>
      </c>
      <c r="S890" s="0" t="inlineStr">
        <is>
          <t xml:space="preserve"/>
        </is>
      </c>
      <c r="T890" s="0" t="inlineStr">
        <is>
          <t xml:space="preserve"/>
        </is>
      </c>
      <c r="U890" s="0" t="inlineStr">
        <is>
          <t xml:space="preserve"/>
        </is>
      </c>
      <c r="V890" s="0" t="inlineStr">
        <is>
          <t xml:space="preserve"/>
        </is>
      </c>
      <c r="W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>
        <f>IF(E891="","",IF(OR(ISNUMBER(SEARCH("狼",E891)),ISNUMBER(SEARCH("石像鬼",E891)),ISNUMBER(SEARCH("恶灵骑士",E891)),ISNUMBER(SEARCH("黑蝙蝠",E891)),ISNUMBER(SEARCH("血月使徒",E891))),"werewolves","villagers"))</f>
      </c>
      <c r="M891" s="0">
        <f>IF(F891="","",IF(ROUND(F891,2)=5,"win","loss"))</f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>
        <f>IF(D891="","",IFERROR(LOOKUP(2,1/(($D$2:$D$1001=D891)*($M$2:$M$1001="win")),$L$2:$L$1001),""))</f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 t="inlineStr">
        <is>
          <t xml:space="preserve"/>
        </is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>
        <f>IF(E892="","",IF(OR(ISNUMBER(SEARCH("狼",E892)),ISNUMBER(SEARCH("石像鬼",E892)),ISNUMBER(SEARCH("恶灵骑士",E892)),ISNUMBER(SEARCH("黑蝙蝠",E892)),ISNUMBER(SEARCH("血月使徒",E892))),"werewolves","villagers"))</f>
      </c>
      <c r="M892" s="0">
        <f>IF(F892="","",IF(ROUND(F892,2)=5,"win","loss"))</f>
      </c>
      <c r="N892" s="0" t="inlineStr">
        <is>
          <t xml:space="preserve"/>
        </is>
      </c>
      <c r="O892" s="0" t="inlineStr">
        <is>
          <t xml:space="preserve"/>
        </is>
      </c>
      <c r="P892" s="0" t="inlineStr">
        <is>
          <t xml:space="preserve"/>
        </is>
      </c>
      <c r="Q892" s="0" t="inlineStr">
        <is>
          <t xml:space="preserve"/>
        </is>
      </c>
      <c r="R892" s="0">
        <f>IF(D892="","",IFERROR(LOOKUP(2,1/(($D$2:$D$1001=D892)*($M$2:$M$1001="win")),$L$2:$L$1001),""))</f>
      </c>
      <c r="S892" s="0" t="inlineStr">
        <is>
          <t xml:space="preserve"/>
        </is>
      </c>
      <c r="T892" s="0" t="inlineStr">
        <is>
          <t xml:space="preserve"/>
        </is>
      </c>
      <c r="U892" s="0" t="inlineStr">
        <is>
          <t xml:space="preserve"/>
        </is>
      </c>
      <c r="V892" s="0" t="inlineStr">
        <is>
          <t xml:space="preserve"/>
        </is>
      </c>
      <c r="W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>
        <f>IF(E893="","",IF(OR(ISNUMBER(SEARCH("狼",E893)),ISNUMBER(SEARCH("石像鬼",E893)),ISNUMBER(SEARCH("恶灵骑士",E893)),ISNUMBER(SEARCH("黑蝙蝠",E893)),ISNUMBER(SEARCH("血月使徒",E893))),"werewolves","villagers"))</f>
      </c>
      <c r="M893" s="0">
        <f>IF(F893="","",IF(ROUND(F893,2)=5,"win","loss"))</f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>
        <f>IF(D893="","",IFERROR(LOOKUP(2,1/(($D$2:$D$1001=D893)*($M$2:$M$1001="win")),$L$2:$L$1001),""))</f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 t="inlineStr">
        <is>
          <t xml:space="preserve"/>
        </is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>
        <f>IF(E894="","",IF(OR(ISNUMBER(SEARCH("狼",E894)),ISNUMBER(SEARCH("石像鬼",E894)),ISNUMBER(SEARCH("恶灵骑士",E894)),ISNUMBER(SEARCH("黑蝙蝠",E894)),ISNUMBER(SEARCH("血月使徒",E894))),"werewolves","villagers"))</f>
      </c>
      <c r="M894" s="0">
        <f>IF(F894="","",IF(ROUND(F894,2)=5,"win","loss"))</f>
      </c>
      <c r="N894" s="0" t="inlineStr">
        <is>
          <t xml:space="preserve"/>
        </is>
      </c>
      <c r="O894" s="0" t="inlineStr">
        <is>
          <t xml:space="preserve"/>
        </is>
      </c>
      <c r="P894" s="0" t="inlineStr">
        <is>
          <t xml:space="preserve"/>
        </is>
      </c>
      <c r="Q894" s="0" t="inlineStr">
        <is>
          <t xml:space="preserve"/>
        </is>
      </c>
      <c r="R894" s="0">
        <f>IF(D894="","",IFERROR(LOOKUP(2,1/(($D$2:$D$1001=D894)*($M$2:$M$1001="win")),$L$2:$L$1001),""))</f>
      </c>
      <c r="S894" s="0" t="inlineStr">
        <is>
          <t xml:space="preserve"/>
        </is>
      </c>
      <c r="T894" s="0" t="inlineStr">
        <is>
          <t xml:space="preserve"/>
        </is>
      </c>
      <c r="U894" s="0" t="inlineStr">
        <is>
          <t xml:space="preserve"/>
        </is>
      </c>
      <c r="V894" s="0" t="inlineStr">
        <is>
          <t xml:space="preserve"/>
        </is>
      </c>
      <c r="W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>
        <f>IF(E895="","",IF(OR(ISNUMBER(SEARCH("狼",E895)),ISNUMBER(SEARCH("石像鬼",E895)),ISNUMBER(SEARCH("恶灵骑士",E895)),ISNUMBER(SEARCH("黑蝙蝠",E895)),ISNUMBER(SEARCH("血月使徒",E895))),"werewolves","villagers"))</f>
      </c>
      <c r="M895" s="0">
        <f>IF(F895="","",IF(ROUND(F895,2)=5,"win","loss"))</f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>
        <f>IF(D895="","",IFERROR(LOOKUP(2,1/(($D$2:$D$1001=D895)*($M$2:$M$1001="win")),$L$2:$L$1001),""))</f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 t="inlineStr">
        <is>
          <t xml:space="preserve"/>
        </is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>
        <f>IF(E896="","",IF(OR(ISNUMBER(SEARCH("狼",E896)),ISNUMBER(SEARCH("石像鬼",E896)),ISNUMBER(SEARCH("恶灵骑士",E896)),ISNUMBER(SEARCH("黑蝙蝠",E896)),ISNUMBER(SEARCH("血月使徒",E896))),"werewolves","villagers"))</f>
      </c>
      <c r="M896" s="0">
        <f>IF(F896="","",IF(ROUND(F896,2)=5,"win","loss"))</f>
      </c>
      <c r="N896" s="0" t="inlineStr">
        <is>
          <t xml:space="preserve"/>
        </is>
      </c>
      <c r="O896" s="0" t="inlineStr">
        <is>
          <t xml:space="preserve"/>
        </is>
      </c>
      <c r="P896" s="0" t="inlineStr">
        <is>
          <t xml:space="preserve"/>
        </is>
      </c>
      <c r="Q896" s="0" t="inlineStr">
        <is>
          <t xml:space="preserve"/>
        </is>
      </c>
      <c r="R896" s="0">
        <f>IF(D896="","",IFERROR(LOOKUP(2,1/(($D$2:$D$1001=D896)*($M$2:$M$1001="win")),$L$2:$L$1001),""))</f>
      </c>
      <c r="S896" s="0" t="inlineStr">
        <is>
          <t xml:space="preserve"/>
        </is>
      </c>
      <c r="T896" s="0" t="inlineStr">
        <is>
          <t xml:space="preserve"/>
        </is>
      </c>
      <c r="U896" s="0" t="inlineStr">
        <is>
          <t xml:space="preserve"/>
        </is>
      </c>
      <c r="V896" s="0" t="inlineStr">
        <is>
          <t xml:space="preserve"/>
        </is>
      </c>
      <c r="W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>
        <f>IF(E897="","",IF(OR(ISNUMBER(SEARCH("狼",E897)),ISNUMBER(SEARCH("石像鬼",E897)),ISNUMBER(SEARCH("恶灵骑士",E897)),ISNUMBER(SEARCH("黑蝙蝠",E897)),ISNUMBER(SEARCH("血月使徒",E897))),"werewolves","villagers"))</f>
      </c>
      <c r="M897" s="0">
        <f>IF(F897="","",IF(ROUND(F897,2)=5,"win","loss"))</f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>
        <f>IF(D897="","",IFERROR(LOOKUP(2,1/(($D$2:$D$1001=D897)*($M$2:$M$1001="win")),$L$2:$L$1001),""))</f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 t="inlineStr">
        <is>
          <t xml:space="preserve"/>
        </is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>
        <f>IF(E898="","",IF(OR(ISNUMBER(SEARCH("狼",E898)),ISNUMBER(SEARCH("石像鬼",E898)),ISNUMBER(SEARCH("恶灵骑士",E898)),ISNUMBER(SEARCH("黑蝙蝠",E898)),ISNUMBER(SEARCH("血月使徒",E898))),"werewolves","villagers"))</f>
      </c>
      <c r="M898" s="0">
        <f>IF(F898="","",IF(ROUND(F898,2)=5,"win","loss"))</f>
      </c>
      <c r="N898" s="0" t="inlineStr">
        <is>
          <t xml:space="preserve"/>
        </is>
      </c>
      <c r="O898" s="0" t="inlineStr">
        <is>
          <t xml:space="preserve"/>
        </is>
      </c>
      <c r="P898" s="0" t="inlineStr">
        <is>
          <t xml:space="preserve"/>
        </is>
      </c>
      <c r="Q898" s="0" t="inlineStr">
        <is>
          <t xml:space="preserve"/>
        </is>
      </c>
      <c r="R898" s="0">
        <f>IF(D898="","",IFERROR(LOOKUP(2,1/(($D$2:$D$1001=D898)*($M$2:$M$1001="win")),$L$2:$L$1001),""))</f>
      </c>
      <c r="S898" s="0" t="inlineStr">
        <is>
          <t xml:space="preserve"/>
        </is>
      </c>
      <c r="T898" s="0" t="inlineStr">
        <is>
          <t xml:space="preserve"/>
        </is>
      </c>
      <c r="U898" s="0" t="inlineStr">
        <is>
          <t xml:space="preserve"/>
        </is>
      </c>
      <c r="V898" s="0" t="inlineStr">
        <is>
          <t xml:space="preserve"/>
        </is>
      </c>
      <c r="W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 t="inlineStr">
        <is>
          <t xml:space="preserve"/>
        </is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>
        <f>IF(E899="","",IF(OR(ISNUMBER(SEARCH("狼",E899)),ISNUMBER(SEARCH("石像鬼",E899)),ISNUMBER(SEARCH("恶灵骑士",E899)),ISNUMBER(SEARCH("黑蝙蝠",E899)),ISNUMBER(SEARCH("血月使徒",E899))),"werewolves","villagers"))</f>
      </c>
      <c r="M899" s="0">
        <f>IF(F899="","",IF(ROUND(F899,2)=5,"win","loss"))</f>
      </c>
      <c r="N899" s="0" t="inlineStr">
        <is>
          <t xml:space="preserve"/>
        </is>
      </c>
      <c r="O899" s="0" t="inlineStr">
        <is>
          <t xml:space="preserve"/>
        </is>
      </c>
      <c r="P899" s="0" t="inlineStr">
        <is>
          <t xml:space="preserve"/>
        </is>
      </c>
      <c r="Q899" s="0" t="inlineStr">
        <is>
          <t xml:space="preserve"/>
        </is>
      </c>
      <c r="R899" s="0">
        <f>IF(D899="","",IFERROR(LOOKUP(2,1/(($D$2:$D$1001=D899)*($M$2:$M$1001="win")),$L$2:$L$1001),""))</f>
      </c>
      <c r="S899" s="0" t="inlineStr">
        <is>
          <t xml:space="preserve"/>
        </is>
      </c>
      <c r="T899" s="0" t="inlineStr">
        <is>
          <t xml:space="preserve"/>
        </is>
      </c>
      <c r="U899" s="0" t="inlineStr">
        <is>
          <t xml:space="preserve"/>
        </is>
      </c>
      <c r="V899" s="0" t="inlineStr">
        <is>
          <t xml:space="preserve"/>
        </is>
      </c>
      <c r="W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 t="inlineStr">
        <is>
          <t xml:space="preserve"/>
        </is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>
        <f>IF(E900="","",IF(OR(ISNUMBER(SEARCH("狼",E900)),ISNUMBER(SEARCH("石像鬼",E900)),ISNUMBER(SEARCH("恶灵骑士",E900)),ISNUMBER(SEARCH("黑蝙蝠",E900)),ISNUMBER(SEARCH("血月使徒",E900))),"werewolves","villagers"))</f>
      </c>
      <c r="M900" s="0">
        <f>IF(F900="","",IF(ROUND(F900,2)=5,"win","loss"))</f>
      </c>
      <c r="N900" s="0" t="inlineStr">
        <is>
          <t xml:space="preserve"/>
        </is>
      </c>
      <c r="O900" s="0" t="inlineStr">
        <is>
          <t xml:space="preserve"/>
        </is>
      </c>
      <c r="P900" s="0" t="inlineStr">
        <is>
          <t xml:space="preserve"/>
        </is>
      </c>
      <c r="Q900" s="0" t="inlineStr">
        <is>
          <t xml:space="preserve"/>
        </is>
      </c>
      <c r="R900" s="0">
        <f>IF(D900="","",IFERROR(LOOKUP(2,1/(($D$2:$D$1001=D900)*($M$2:$M$1001="win")),$L$2:$L$1001),""))</f>
      </c>
      <c r="S900" s="0" t="inlineStr">
        <is>
          <t xml:space="preserve"/>
        </is>
      </c>
      <c r="T900" s="0" t="inlineStr">
        <is>
          <t xml:space="preserve"/>
        </is>
      </c>
      <c r="U900" s="0" t="inlineStr">
        <is>
          <t xml:space="preserve"/>
        </is>
      </c>
      <c r="V900" s="0" t="inlineStr">
        <is>
          <t xml:space="preserve"/>
        </is>
      </c>
      <c r="W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>
        <f>IF(E901="","",IF(OR(ISNUMBER(SEARCH("狼",E901)),ISNUMBER(SEARCH("石像鬼",E901)),ISNUMBER(SEARCH("恶灵骑士",E901)),ISNUMBER(SEARCH("黑蝙蝠",E901)),ISNUMBER(SEARCH("血月使徒",E901))),"werewolves","villagers"))</f>
      </c>
      <c r="M901" s="0">
        <f>IF(F901="","",IF(ROUND(F901,2)=5,"win","loss"))</f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>
        <f>IF(D901="","",IFERROR(LOOKUP(2,1/(($D$2:$D$1001=D901)*($M$2:$M$1001="win")),$L$2:$L$1001),""))</f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 t="inlineStr">
        <is>
          <t xml:space="preserve"/>
        </is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>
        <f>IF(E902="","",IF(OR(ISNUMBER(SEARCH("狼",E902)),ISNUMBER(SEARCH("石像鬼",E902)),ISNUMBER(SEARCH("恶灵骑士",E902)),ISNUMBER(SEARCH("黑蝙蝠",E902)),ISNUMBER(SEARCH("血月使徒",E902))),"werewolves","villagers"))</f>
      </c>
      <c r="M902" s="0">
        <f>IF(F902="","",IF(ROUND(F902,2)=5,"win","loss"))</f>
      </c>
      <c r="N902" s="0" t="inlineStr">
        <is>
          <t xml:space="preserve"/>
        </is>
      </c>
      <c r="O902" s="0" t="inlineStr">
        <is>
          <t xml:space="preserve"/>
        </is>
      </c>
      <c r="P902" s="0" t="inlineStr">
        <is>
          <t xml:space="preserve"/>
        </is>
      </c>
      <c r="Q902" s="0" t="inlineStr">
        <is>
          <t xml:space="preserve"/>
        </is>
      </c>
      <c r="R902" s="0">
        <f>IF(D902="","",IFERROR(LOOKUP(2,1/(($D$2:$D$1001=D902)*($M$2:$M$1001="win")),$L$2:$L$1001),""))</f>
      </c>
      <c r="S902" s="0" t="inlineStr">
        <is>
          <t xml:space="preserve"/>
        </is>
      </c>
      <c r="T902" s="0" t="inlineStr">
        <is>
          <t xml:space="preserve"/>
        </is>
      </c>
      <c r="U902" s="0" t="inlineStr">
        <is>
          <t xml:space="preserve"/>
        </is>
      </c>
      <c r="V902" s="0" t="inlineStr">
        <is>
          <t xml:space="preserve"/>
        </is>
      </c>
      <c r="W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 t="inlineStr">
        <is>
          <t xml:space="preserve"/>
        </is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>
        <f>IF(E903="","",IF(OR(ISNUMBER(SEARCH("狼",E903)),ISNUMBER(SEARCH("石像鬼",E903)),ISNUMBER(SEARCH("恶灵骑士",E903)),ISNUMBER(SEARCH("黑蝙蝠",E903)),ISNUMBER(SEARCH("血月使徒",E903))),"werewolves","villagers"))</f>
      </c>
      <c r="M903" s="0">
        <f>IF(F903="","",IF(ROUND(F903,2)=5,"win","loss"))</f>
      </c>
      <c r="N903" s="0" t="inlineStr">
        <is>
          <t xml:space="preserve"/>
        </is>
      </c>
      <c r="O903" s="0" t="inlineStr">
        <is>
          <t xml:space="preserve"/>
        </is>
      </c>
      <c r="P903" s="0" t="inlineStr">
        <is>
          <t xml:space="preserve"/>
        </is>
      </c>
      <c r="Q903" s="0" t="inlineStr">
        <is>
          <t xml:space="preserve"/>
        </is>
      </c>
      <c r="R903" s="0">
        <f>IF(D903="","",IFERROR(LOOKUP(2,1/(($D$2:$D$1001=D903)*($M$2:$M$1001="win")),$L$2:$L$1001),""))</f>
      </c>
      <c r="S903" s="0" t="inlineStr">
        <is>
          <t xml:space="preserve"/>
        </is>
      </c>
      <c r="T903" s="0" t="inlineStr">
        <is>
          <t xml:space="preserve"/>
        </is>
      </c>
      <c r="U903" s="0" t="inlineStr">
        <is>
          <t xml:space="preserve"/>
        </is>
      </c>
      <c r="V903" s="0" t="inlineStr">
        <is>
          <t xml:space="preserve"/>
        </is>
      </c>
      <c r="W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 t="inlineStr">
        <is>
          <t xml:space="preserve"/>
        </is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>
        <f>IF(E904="","",IF(OR(ISNUMBER(SEARCH("狼",E904)),ISNUMBER(SEARCH("石像鬼",E904)),ISNUMBER(SEARCH("恶灵骑士",E904)),ISNUMBER(SEARCH("黑蝙蝠",E904)),ISNUMBER(SEARCH("血月使徒",E904))),"werewolves","villagers"))</f>
      </c>
      <c r="M904" s="0">
        <f>IF(F904="","",IF(ROUND(F904,2)=5,"win","loss"))</f>
      </c>
      <c r="N904" s="0" t="inlineStr">
        <is>
          <t xml:space="preserve"/>
        </is>
      </c>
      <c r="O904" s="0" t="inlineStr">
        <is>
          <t xml:space="preserve"/>
        </is>
      </c>
      <c r="P904" s="0" t="inlineStr">
        <is>
          <t xml:space="preserve"/>
        </is>
      </c>
      <c r="Q904" s="0" t="inlineStr">
        <is>
          <t xml:space="preserve"/>
        </is>
      </c>
      <c r="R904" s="0">
        <f>IF(D904="","",IFERROR(LOOKUP(2,1/(($D$2:$D$1001=D904)*($M$2:$M$1001="win")),$L$2:$L$1001),""))</f>
      </c>
      <c r="S904" s="0" t="inlineStr">
        <is>
          <t xml:space="preserve"/>
        </is>
      </c>
      <c r="T904" s="0" t="inlineStr">
        <is>
          <t xml:space="preserve"/>
        </is>
      </c>
      <c r="U904" s="0" t="inlineStr">
        <is>
          <t xml:space="preserve"/>
        </is>
      </c>
      <c r="V904" s="0" t="inlineStr">
        <is>
          <t xml:space="preserve"/>
        </is>
      </c>
      <c r="W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 t="inlineStr">
        <is>
          <t xml:space="preserve"/>
        </is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>
        <f>IF(E905="","",IF(OR(ISNUMBER(SEARCH("狼",E905)),ISNUMBER(SEARCH("石像鬼",E905)),ISNUMBER(SEARCH("恶灵骑士",E905)),ISNUMBER(SEARCH("黑蝙蝠",E905)),ISNUMBER(SEARCH("血月使徒",E905))),"werewolves","villagers"))</f>
      </c>
      <c r="M905" s="0">
        <f>IF(F905="","",IF(ROUND(F905,2)=5,"win","loss"))</f>
      </c>
      <c r="N905" s="0" t="inlineStr">
        <is>
          <t xml:space="preserve"/>
        </is>
      </c>
      <c r="O905" s="0" t="inlineStr">
        <is>
          <t xml:space="preserve"/>
        </is>
      </c>
      <c r="P905" s="0" t="inlineStr">
        <is>
          <t xml:space="preserve"/>
        </is>
      </c>
      <c r="Q905" s="0" t="inlineStr">
        <is>
          <t xml:space="preserve"/>
        </is>
      </c>
      <c r="R905" s="0">
        <f>IF(D905="","",IFERROR(LOOKUP(2,1/(($D$2:$D$1001=D905)*($M$2:$M$1001="win")),$L$2:$L$1001),""))</f>
      </c>
      <c r="S905" s="0" t="inlineStr">
        <is>
          <t xml:space="preserve"/>
        </is>
      </c>
      <c r="T905" s="0" t="inlineStr">
        <is>
          <t xml:space="preserve"/>
        </is>
      </c>
      <c r="U905" s="0" t="inlineStr">
        <is>
          <t xml:space="preserve"/>
        </is>
      </c>
      <c r="V905" s="0" t="inlineStr">
        <is>
          <t xml:space="preserve"/>
        </is>
      </c>
      <c r="W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>
        <f>IF(E906="","",IF(OR(ISNUMBER(SEARCH("狼",E906)),ISNUMBER(SEARCH("石像鬼",E906)),ISNUMBER(SEARCH("恶灵骑士",E906)),ISNUMBER(SEARCH("黑蝙蝠",E906)),ISNUMBER(SEARCH("血月使徒",E906))),"werewolves","villagers"))</f>
      </c>
      <c r="M906" s="0">
        <f>IF(F906="","",IF(ROUND(F906,2)=5,"win","loss"))</f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>
        <f>IF(D906="","",IFERROR(LOOKUP(2,1/(($D$2:$D$1001=D906)*($M$2:$M$1001="win")),$L$2:$L$1001),""))</f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 t="inlineStr">
        <is>
          <t xml:space="preserve"/>
        </is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>
        <f>IF(E907="","",IF(OR(ISNUMBER(SEARCH("狼",E907)),ISNUMBER(SEARCH("石像鬼",E907)),ISNUMBER(SEARCH("恶灵骑士",E907)),ISNUMBER(SEARCH("黑蝙蝠",E907)),ISNUMBER(SEARCH("血月使徒",E907))),"werewolves","villagers"))</f>
      </c>
      <c r="M907" s="0">
        <f>IF(F907="","",IF(ROUND(F907,2)=5,"win","loss"))</f>
      </c>
      <c r="N907" s="0" t="inlineStr">
        <is>
          <t xml:space="preserve"/>
        </is>
      </c>
      <c r="O907" s="0" t="inlineStr">
        <is>
          <t xml:space="preserve"/>
        </is>
      </c>
      <c r="P907" s="0" t="inlineStr">
        <is>
          <t xml:space="preserve"/>
        </is>
      </c>
      <c r="Q907" s="0" t="inlineStr">
        <is>
          <t xml:space="preserve"/>
        </is>
      </c>
      <c r="R907" s="0">
        <f>IF(D907="","",IFERROR(LOOKUP(2,1/(($D$2:$D$1001=D907)*($M$2:$M$1001="win")),$L$2:$L$1001),""))</f>
      </c>
      <c r="S907" s="0" t="inlineStr">
        <is>
          <t xml:space="preserve"/>
        </is>
      </c>
      <c r="T907" s="0" t="inlineStr">
        <is>
          <t xml:space="preserve"/>
        </is>
      </c>
      <c r="U907" s="0" t="inlineStr">
        <is>
          <t xml:space="preserve"/>
        </is>
      </c>
      <c r="V907" s="0" t="inlineStr">
        <is>
          <t xml:space="preserve"/>
        </is>
      </c>
      <c r="W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 t="inlineStr">
        <is>
          <t xml:space="preserve"/>
        </is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>
        <f>IF(E908="","",IF(OR(ISNUMBER(SEARCH("狼",E908)),ISNUMBER(SEARCH("石像鬼",E908)),ISNUMBER(SEARCH("恶灵骑士",E908)),ISNUMBER(SEARCH("黑蝙蝠",E908)),ISNUMBER(SEARCH("血月使徒",E908))),"werewolves","villagers"))</f>
      </c>
      <c r="M908" s="0">
        <f>IF(F908="","",IF(ROUND(F908,2)=5,"win","loss"))</f>
      </c>
      <c r="N908" s="0" t="inlineStr">
        <is>
          <t xml:space="preserve"/>
        </is>
      </c>
      <c r="O908" s="0" t="inlineStr">
        <is>
          <t xml:space="preserve"/>
        </is>
      </c>
      <c r="P908" s="0" t="inlineStr">
        <is>
          <t xml:space="preserve"/>
        </is>
      </c>
      <c r="Q908" s="0" t="inlineStr">
        <is>
          <t xml:space="preserve"/>
        </is>
      </c>
      <c r="R908" s="0">
        <f>IF(D908="","",IFERROR(LOOKUP(2,1/(($D$2:$D$1001=D908)*($M$2:$M$1001="win")),$L$2:$L$1001),""))</f>
      </c>
      <c r="S908" s="0" t="inlineStr">
        <is>
          <t xml:space="preserve"/>
        </is>
      </c>
      <c r="T908" s="0" t="inlineStr">
        <is>
          <t xml:space="preserve"/>
        </is>
      </c>
      <c r="U908" s="0" t="inlineStr">
        <is>
          <t xml:space="preserve"/>
        </is>
      </c>
      <c r="V908" s="0" t="inlineStr">
        <is>
          <t xml:space="preserve"/>
        </is>
      </c>
      <c r="W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 t="inlineStr">
        <is>
          <t xml:space="preserve"/>
        </is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>
        <f>IF(E909="","",IF(OR(ISNUMBER(SEARCH("狼",E909)),ISNUMBER(SEARCH("石像鬼",E909)),ISNUMBER(SEARCH("恶灵骑士",E909)),ISNUMBER(SEARCH("黑蝙蝠",E909)),ISNUMBER(SEARCH("血月使徒",E909))),"werewolves","villagers"))</f>
      </c>
      <c r="M909" s="0">
        <f>IF(F909="","",IF(ROUND(F909,2)=5,"win","loss"))</f>
      </c>
      <c r="N909" s="0" t="inlineStr">
        <is>
          <t xml:space="preserve"/>
        </is>
      </c>
      <c r="O909" s="0" t="inlineStr">
        <is>
          <t xml:space="preserve"/>
        </is>
      </c>
      <c r="P909" s="0" t="inlineStr">
        <is>
          <t xml:space="preserve"/>
        </is>
      </c>
      <c r="Q909" s="0" t="inlineStr">
        <is>
          <t xml:space="preserve"/>
        </is>
      </c>
      <c r="R909" s="0">
        <f>IF(D909="","",IFERROR(LOOKUP(2,1/(($D$2:$D$1001=D909)*($M$2:$M$1001="win")),$L$2:$L$1001),""))</f>
      </c>
      <c r="S909" s="0" t="inlineStr">
        <is>
          <t xml:space="preserve"/>
        </is>
      </c>
      <c r="T909" s="0" t="inlineStr">
        <is>
          <t xml:space="preserve"/>
        </is>
      </c>
      <c r="U909" s="0" t="inlineStr">
        <is>
          <t xml:space="preserve"/>
        </is>
      </c>
      <c r="V909" s="0" t="inlineStr">
        <is>
          <t xml:space="preserve"/>
        </is>
      </c>
      <c r="W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 t="inlineStr">
        <is>
          <t xml:space="preserve"/>
        </is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>
        <f>IF(E910="","",IF(OR(ISNUMBER(SEARCH("狼",E910)),ISNUMBER(SEARCH("石像鬼",E910)),ISNUMBER(SEARCH("恶灵骑士",E910)),ISNUMBER(SEARCH("黑蝙蝠",E910)),ISNUMBER(SEARCH("血月使徒",E910))),"werewolves","villagers"))</f>
      </c>
      <c r="M910" s="0">
        <f>IF(F910="","",IF(ROUND(F910,2)=5,"win","loss"))</f>
      </c>
      <c r="N910" s="0" t="inlineStr">
        <is>
          <t xml:space="preserve"/>
        </is>
      </c>
      <c r="O910" s="0" t="inlineStr">
        <is>
          <t xml:space="preserve"/>
        </is>
      </c>
      <c r="P910" s="0" t="inlineStr">
        <is>
          <t xml:space="preserve"/>
        </is>
      </c>
      <c r="Q910" s="0" t="inlineStr">
        <is>
          <t xml:space="preserve"/>
        </is>
      </c>
      <c r="R910" s="0">
        <f>IF(D910="","",IFERROR(LOOKUP(2,1/(($D$2:$D$1001=D910)*($M$2:$M$1001="win")),$L$2:$L$1001),""))</f>
      </c>
      <c r="S910" s="0" t="inlineStr">
        <is>
          <t xml:space="preserve"/>
        </is>
      </c>
      <c r="T910" s="0" t="inlineStr">
        <is>
          <t xml:space="preserve"/>
        </is>
      </c>
      <c r="U910" s="0" t="inlineStr">
        <is>
          <t xml:space="preserve"/>
        </is>
      </c>
      <c r="V910" s="0" t="inlineStr">
        <is>
          <t xml:space="preserve"/>
        </is>
      </c>
      <c r="W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 t="inlineStr">
        <is>
          <t xml:space="preserve"/>
        </is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>
        <f>IF(E911="","",IF(OR(ISNUMBER(SEARCH("狼",E911)),ISNUMBER(SEARCH("石像鬼",E911)),ISNUMBER(SEARCH("恶灵骑士",E911)),ISNUMBER(SEARCH("黑蝙蝠",E911)),ISNUMBER(SEARCH("血月使徒",E911))),"werewolves","villagers"))</f>
      </c>
      <c r="M911" s="0">
        <f>IF(F911="","",IF(ROUND(F911,2)=5,"win","loss"))</f>
      </c>
      <c r="N911" s="0" t="inlineStr">
        <is>
          <t xml:space="preserve"/>
        </is>
      </c>
      <c r="O911" s="0" t="inlineStr">
        <is>
          <t xml:space="preserve"/>
        </is>
      </c>
      <c r="P911" s="0" t="inlineStr">
        <is>
          <t xml:space="preserve"/>
        </is>
      </c>
      <c r="Q911" s="0" t="inlineStr">
        <is>
          <t xml:space="preserve"/>
        </is>
      </c>
      <c r="R911" s="0">
        <f>IF(D911="","",IFERROR(LOOKUP(2,1/(($D$2:$D$1001=D911)*($M$2:$M$1001="win")),$L$2:$L$1001),""))</f>
      </c>
      <c r="S911" s="0" t="inlineStr">
        <is>
          <t xml:space="preserve"/>
        </is>
      </c>
      <c r="T911" s="0" t="inlineStr">
        <is>
          <t xml:space="preserve"/>
        </is>
      </c>
      <c r="U911" s="0" t="inlineStr">
        <is>
          <t xml:space="preserve"/>
        </is>
      </c>
      <c r="V911" s="0" t="inlineStr">
        <is>
          <t xml:space="preserve"/>
        </is>
      </c>
      <c r="W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 t="inlineStr">
        <is>
          <t xml:space="preserve"/>
        </is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>
        <f>IF(E912="","",IF(OR(ISNUMBER(SEARCH("狼",E912)),ISNUMBER(SEARCH("石像鬼",E912)),ISNUMBER(SEARCH("恶灵骑士",E912)),ISNUMBER(SEARCH("黑蝙蝠",E912)),ISNUMBER(SEARCH("血月使徒",E912))),"werewolves","villagers"))</f>
      </c>
      <c r="M912" s="0">
        <f>IF(F912="","",IF(ROUND(F912,2)=5,"win","loss"))</f>
      </c>
      <c r="N912" s="0" t="inlineStr">
        <is>
          <t xml:space="preserve"/>
        </is>
      </c>
      <c r="O912" s="0" t="inlineStr">
        <is>
          <t xml:space="preserve"/>
        </is>
      </c>
      <c r="P912" s="0" t="inlineStr">
        <is>
          <t xml:space="preserve"/>
        </is>
      </c>
      <c r="Q912" s="0" t="inlineStr">
        <is>
          <t xml:space="preserve"/>
        </is>
      </c>
      <c r="R912" s="0">
        <f>IF(D912="","",IFERROR(LOOKUP(2,1/(($D$2:$D$1001=D912)*($M$2:$M$1001="win")),$L$2:$L$1001),""))</f>
      </c>
      <c r="S912" s="0" t="inlineStr">
        <is>
          <t xml:space="preserve"/>
        </is>
      </c>
      <c r="T912" s="0" t="inlineStr">
        <is>
          <t xml:space="preserve"/>
        </is>
      </c>
      <c r="U912" s="0" t="inlineStr">
        <is>
          <t xml:space="preserve"/>
        </is>
      </c>
      <c r="V912" s="0" t="inlineStr">
        <is>
          <t xml:space="preserve"/>
        </is>
      </c>
      <c r="W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 t="inlineStr">
        <is>
          <t xml:space="preserve"/>
        </is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>
        <f>IF(E913="","",IF(OR(ISNUMBER(SEARCH("狼",E913)),ISNUMBER(SEARCH("石像鬼",E913)),ISNUMBER(SEARCH("恶灵骑士",E913)),ISNUMBER(SEARCH("黑蝙蝠",E913)),ISNUMBER(SEARCH("血月使徒",E913))),"werewolves","villagers"))</f>
      </c>
      <c r="M913" s="0">
        <f>IF(F913="","",IF(ROUND(F913,2)=5,"win","loss"))</f>
      </c>
      <c r="N913" s="0" t="inlineStr">
        <is>
          <t xml:space="preserve"/>
        </is>
      </c>
      <c r="O913" s="0" t="inlineStr">
        <is>
          <t xml:space="preserve"/>
        </is>
      </c>
      <c r="P913" s="0" t="inlineStr">
        <is>
          <t xml:space="preserve"/>
        </is>
      </c>
      <c r="Q913" s="0" t="inlineStr">
        <is>
          <t xml:space="preserve"/>
        </is>
      </c>
      <c r="R913" s="0">
        <f>IF(D913="","",IFERROR(LOOKUP(2,1/(($D$2:$D$1001=D913)*($M$2:$M$1001="win")),$L$2:$L$1001),""))</f>
      </c>
      <c r="S913" s="0" t="inlineStr">
        <is>
          <t xml:space="preserve"/>
        </is>
      </c>
      <c r="T913" s="0" t="inlineStr">
        <is>
          <t xml:space="preserve"/>
        </is>
      </c>
      <c r="U913" s="0" t="inlineStr">
        <is>
          <t xml:space="preserve"/>
        </is>
      </c>
      <c r="V913" s="0" t="inlineStr">
        <is>
          <t xml:space="preserve"/>
        </is>
      </c>
      <c r="W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 t="inlineStr">
        <is>
          <t xml:space="preserve"/>
        </is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>
        <f>IF(E914="","",IF(OR(ISNUMBER(SEARCH("狼",E914)),ISNUMBER(SEARCH("石像鬼",E914)),ISNUMBER(SEARCH("恶灵骑士",E914)),ISNUMBER(SEARCH("黑蝙蝠",E914)),ISNUMBER(SEARCH("血月使徒",E914))),"werewolves","villagers"))</f>
      </c>
      <c r="M914" s="0">
        <f>IF(F914="","",IF(ROUND(F914,2)=5,"win","loss"))</f>
      </c>
      <c r="N914" s="0" t="inlineStr">
        <is>
          <t xml:space="preserve"/>
        </is>
      </c>
      <c r="O914" s="0" t="inlineStr">
        <is>
          <t xml:space="preserve"/>
        </is>
      </c>
      <c r="P914" s="0" t="inlineStr">
        <is>
          <t xml:space="preserve"/>
        </is>
      </c>
      <c r="Q914" s="0" t="inlineStr">
        <is>
          <t xml:space="preserve"/>
        </is>
      </c>
      <c r="R914" s="0">
        <f>IF(D914="","",IFERROR(LOOKUP(2,1/(($D$2:$D$1001=D914)*($M$2:$M$1001="win")),$L$2:$L$1001),""))</f>
      </c>
      <c r="S914" s="0" t="inlineStr">
        <is>
          <t xml:space="preserve"/>
        </is>
      </c>
      <c r="T914" s="0" t="inlineStr">
        <is>
          <t xml:space="preserve"/>
        </is>
      </c>
      <c r="U914" s="0" t="inlineStr">
        <is>
          <t xml:space="preserve"/>
        </is>
      </c>
      <c r="V914" s="0" t="inlineStr">
        <is>
          <t xml:space="preserve"/>
        </is>
      </c>
      <c r="W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 t="inlineStr">
        <is>
          <t xml:space="preserve"/>
        </is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>
        <f>IF(E915="","",IF(OR(ISNUMBER(SEARCH("狼",E915)),ISNUMBER(SEARCH("石像鬼",E915)),ISNUMBER(SEARCH("恶灵骑士",E915)),ISNUMBER(SEARCH("黑蝙蝠",E915)),ISNUMBER(SEARCH("血月使徒",E915))),"werewolves","villagers"))</f>
      </c>
      <c r="M915" s="0">
        <f>IF(F915="","",IF(ROUND(F915,2)=5,"win","loss"))</f>
      </c>
      <c r="N915" s="0" t="inlineStr">
        <is>
          <t xml:space="preserve"/>
        </is>
      </c>
      <c r="O915" s="0" t="inlineStr">
        <is>
          <t xml:space="preserve"/>
        </is>
      </c>
      <c r="P915" s="0" t="inlineStr">
        <is>
          <t xml:space="preserve"/>
        </is>
      </c>
      <c r="Q915" s="0" t="inlineStr">
        <is>
          <t xml:space="preserve"/>
        </is>
      </c>
      <c r="R915" s="0">
        <f>IF(D915="","",IFERROR(LOOKUP(2,1/(($D$2:$D$1001=D915)*($M$2:$M$1001="win")),$L$2:$L$1001),""))</f>
      </c>
      <c r="S915" s="0" t="inlineStr">
        <is>
          <t xml:space="preserve"/>
        </is>
      </c>
      <c r="T915" s="0" t="inlineStr">
        <is>
          <t xml:space="preserve"/>
        </is>
      </c>
      <c r="U915" s="0" t="inlineStr">
        <is>
          <t xml:space="preserve"/>
        </is>
      </c>
      <c r="V915" s="0" t="inlineStr">
        <is>
          <t xml:space="preserve"/>
        </is>
      </c>
      <c r="W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 t="inlineStr">
        <is>
          <t xml:space="preserve"/>
        </is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>
        <f>IF(E916="","",IF(OR(ISNUMBER(SEARCH("狼",E916)),ISNUMBER(SEARCH("石像鬼",E916)),ISNUMBER(SEARCH("恶灵骑士",E916)),ISNUMBER(SEARCH("黑蝙蝠",E916)),ISNUMBER(SEARCH("血月使徒",E916))),"werewolves","villagers"))</f>
      </c>
      <c r="M916" s="0">
        <f>IF(F916="","",IF(ROUND(F916,2)=5,"win","loss"))</f>
      </c>
      <c r="N916" s="0" t="inlineStr">
        <is>
          <t xml:space="preserve"/>
        </is>
      </c>
      <c r="O916" s="0" t="inlineStr">
        <is>
          <t xml:space="preserve"/>
        </is>
      </c>
      <c r="P916" s="0" t="inlineStr">
        <is>
          <t xml:space="preserve"/>
        </is>
      </c>
      <c r="Q916" s="0" t="inlineStr">
        <is>
          <t xml:space="preserve"/>
        </is>
      </c>
      <c r="R916" s="0">
        <f>IF(D916="","",IFERROR(LOOKUP(2,1/(($D$2:$D$1001=D916)*($M$2:$M$1001="win")),$L$2:$L$1001),""))</f>
      </c>
      <c r="S916" s="0" t="inlineStr">
        <is>
          <t xml:space="preserve"/>
        </is>
      </c>
      <c r="T916" s="0" t="inlineStr">
        <is>
          <t xml:space="preserve"/>
        </is>
      </c>
      <c r="U916" s="0" t="inlineStr">
        <is>
          <t xml:space="preserve"/>
        </is>
      </c>
      <c r="V916" s="0" t="inlineStr">
        <is>
          <t xml:space="preserve"/>
        </is>
      </c>
      <c r="W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 t="inlineStr">
        <is>
          <t xml:space="preserve"/>
        </is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>
        <f>IF(E917="","",IF(OR(ISNUMBER(SEARCH("狼",E917)),ISNUMBER(SEARCH("石像鬼",E917)),ISNUMBER(SEARCH("恶灵骑士",E917)),ISNUMBER(SEARCH("黑蝙蝠",E917)),ISNUMBER(SEARCH("血月使徒",E917))),"werewolves","villagers"))</f>
      </c>
      <c r="M917" s="0">
        <f>IF(F917="","",IF(ROUND(F917,2)=5,"win","loss"))</f>
      </c>
      <c r="N917" s="0" t="inlineStr">
        <is>
          <t xml:space="preserve"/>
        </is>
      </c>
      <c r="O917" s="0" t="inlineStr">
        <is>
          <t xml:space="preserve"/>
        </is>
      </c>
      <c r="P917" s="0" t="inlineStr">
        <is>
          <t xml:space="preserve"/>
        </is>
      </c>
      <c r="Q917" s="0" t="inlineStr">
        <is>
          <t xml:space="preserve"/>
        </is>
      </c>
      <c r="R917" s="0">
        <f>IF(D917="","",IFERROR(LOOKUP(2,1/(($D$2:$D$1001=D917)*($M$2:$M$1001="win")),$L$2:$L$1001),""))</f>
      </c>
      <c r="S917" s="0" t="inlineStr">
        <is>
          <t xml:space="preserve"/>
        </is>
      </c>
      <c r="T917" s="0" t="inlineStr">
        <is>
          <t xml:space="preserve"/>
        </is>
      </c>
      <c r="U917" s="0" t="inlineStr">
        <is>
          <t xml:space="preserve"/>
        </is>
      </c>
      <c r="V917" s="0" t="inlineStr">
        <is>
          <t xml:space="preserve"/>
        </is>
      </c>
      <c r="W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>
        <f>IF(E918="","",IF(OR(ISNUMBER(SEARCH("狼",E918)),ISNUMBER(SEARCH("石像鬼",E918)),ISNUMBER(SEARCH("恶灵骑士",E918)),ISNUMBER(SEARCH("黑蝙蝠",E918)),ISNUMBER(SEARCH("血月使徒",E918))),"werewolves","villagers"))</f>
      </c>
      <c r="M918" s="0">
        <f>IF(F918="","",IF(ROUND(F918,2)=5,"win","loss"))</f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>
        <f>IF(D918="","",IFERROR(LOOKUP(2,1/(($D$2:$D$1001=D918)*($M$2:$M$1001="win")),$L$2:$L$1001),""))</f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 t="inlineStr">
        <is>
          <t xml:space="preserve"/>
        </is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>
        <f>IF(E919="","",IF(OR(ISNUMBER(SEARCH("狼",E919)),ISNUMBER(SEARCH("石像鬼",E919)),ISNUMBER(SEARCH("恶灵骑士",E919)),ISNUMBER(SEARCH("黑蝙蝠",E919)),ISNUMBER(SEARCH("血月使徒",E919))),"werewolves","villagers"))</f>
      </c>
      <c r="M919" s="0">
        <f>IF(F919="","",IF(ROUND(F919,2)=5,"win","loss"))</f>
      </c>
      <c r="N919" s="0" t="inlineStr">
        <is>
          <t xml:space="preserve"/>
        </is>
      </c>
      <c r="O919" s="0" t="inlineStr">
        <is>
          <t xml:space="preserve"/>
        </is>
      </c>
      <c r="P919" s="0" t="inlineStr">
        <is>
          <t xml:space="preserve"/>
        </is>
      </c>
      <c r="Q919" s="0" t="inlineStr">
        <is>
          <t xml:space="preserve"/>
        </is>
      </c>
      <c r="R919" s="0">
        <f>IF(D919="","",IFERROR(LOOKUP(2,1/(($D$2:$D$1001=D919)*($M$2:$M$1001="win")),$L$2:$L$1001),""))</f>
      </c>
      <c r="S919" s="0" t="inlineStr">
        <is>
          <t xml:space="preserve"/>
        </is>
      </c>
      <c r="T919" s="0" t="inlineStr">
        <is>
          <t xml:space="preserve"/>
        </is>
      </c>
      <c r="U919" s="0" t="inlineStr">
        <is>
          <t xml:space="preserve"/>
        </is>
      </c>
      <c r="V919" s="0" t="inlineStr">
        <is>
          <t xml:space="preserve"/>
        </is>
      </c>
      <c r="W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 t="inlineStr">
        <is>
          <t xml:space="preserve"/>
        </is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>
        <f>IF(E920="","",IF(OR(ISNUMBER(SEARCH("狼",E920)),ISNUMBER(SEARCH("石像鬼",E920)),ISNUMBER(SEARCH("恶灵骑士",E920)),ISNUMBER(SEARCH("黑蝙蝠",E920)),ISNUMBER(SEARCH("血月使徒",E920))),"werewolves","villagers"))</f>
      </c>
      <c r="M920" s="0">
        <f>IF(F920="","",IF(ROUND(F920,2)=5,"win","loss"))</f>
      </c>
      <c r="N920" s="0" t="inlineStr">
        <is>
          <t xml:space="preserve"/>
        </is>
      </c>
      <c r="O920" s="0" t="inlineStr">
        <is>
          <t xml:space="preserve"/>
        </is>
      </c>
      <c r="P920" s="0" t="inlineStr">
        <is>
          <t xml:space="preserve"/>
        </is>
      </c>
      <c r="Q920" s="0" t="inlineStr">
        <is>
          <t xml:space="preserve"/>
        </is>
      </c>
      <c r="R920" s="0">
        <f>IF(D920="","",IFERROR(LOOKUP(2,1/(($D$2:$D$1001=D920)*($M$2:$M$1001="win")),$L$2:$L$1001),""))</f>
      </c>
      <c r="S920" s="0" t="inlineStr">
        <is>
          <t xml:space="preserve"/>
        </is>
      </c>
      <c r="T920" s="0" t="inlineStr">
        <is>
          <t xml:space="preserve"/>
        </is>
      </c>
      <c r="U920" s="0" t="inlineStr">
        <is>
          <t xml:space="preserve"/>
        </is>
      </c>
      <c r="V920" s="0" t="inlineStr">
        <is>
          <t xml:space="preserve"/>
        </is>
      </c>
      <c r="W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 t="inlineStr">
        <is>
          <t xml:space="preserve"/>
        </is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>
        <f>IF(E921="","",IF(OR(ISNUMBER(SEARCH("狼",E921)),ISNUMBER(SEARCH("石像鬼",E921)),ISNUMBER(SEARCH("恶灵骑士",E921)),ISNUMBER(SEARCH("黑蝙蝠",E921)),ISNUMBER(SEARCH("血月使徒",E921))),"werewolves","villagers"))</f>
      </c>
      <c r="M921" s="0">
        <f>IF(F921="","",IF(ROUND(F921,2)=5,"win","loss"))</f>
      </c>
      <c r="N921" s="0" t="inlineStr">
        <is>
          <t xml:space="preserve"/>
        </is>
      </c>
      <c r="O921" s="0" t="inlineStr">
        <is>
          <t xml:space="preserve"/>
        </is>
      </c>
      <c r="P921" s="0" t="inlineStr">
        <is>
          <t xml:space="preserve"/>
        </is>
      </c>
      <c r="Q921" s="0" t="inlineStr">
        <is>
          <t xml:space="preserve"/>
        </is>
      </c>
      <c r="R921" s="0">
        <f>IF(D921="","",IFERROR(LOOKUP(2,1/(($D$2:$D$1001=D921)*($M$2:$M$1001="win")),$L$2:$L$1001),""))</f>
      </c>
      <c r="S921" s="0" t="inlineStr">
        <is>
          <t xml:space="preserve"/>
        </is>
      </c>
      <c r="T921" s="0" t="inlineStr">
        <is>
          <t xml:space="preserve"/>
        </is>
      </c>
      <c r="U921" s="0" t="inlineStr">
        <is>
          <t xml:space="preserve"/>
        </is>
      </c>
      <c r="V921" s="0" t="inlineStr">
        <is>
          <t xml:space="preserve"/>
        </is>
      </c>
      <c r="W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 t="inlineStr">
        <is>
          <t xml:space="preserve"/>
        </is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>
        <f>IF(E922="","",IF(OR(ISNUMBER(SEARCH("狼",E922)),ISNUMBER(SEARCH("石像鬼",E922)),ISNUMBER(SEARCH("恶灵骑士",E922)),ISNUMBER(SEARCH("黑蝙蝠",E922)),ISNUMBER(SEARCH("血月使徒",E922))),"werewolves","villagers"))</f>
      </c>
      <c r="M922" s="0">
        <f>IF(F922="","",IF(ROUND(F922,2)=5,"win","loss"))</f>
      </c>
      <c r="N922" s="0" t="inlineStr">
        <is>
          <t xml:space="preserve"/>
        </is>
      </c>
      <c r="O922" s="0" t="inlineStr">
        <is>
          <t xml:space="preserve"/>
        </is>
      </c>
      <c r="P922" s="0" t="inlineStr">
        <is>
          <t xml:space="preserve"/>
        </is>
      </c>
      <c r="Q922" s="0" t="inlineStr">
        <is>
          <t xml:space="preserve"/>
        </is>
      </c>
      <c r="R922" s="0">
        <f>IF(D922="","",IFERROR(LOOKUP(2,1/(($D$2:$D$1001=D922)*($M$2:$M$1001="win")),$L$2:$L$1001),""))</f>
      </c>
      <c r="S922" s="0" t="inlineStr">
        <is>
          <t xml:space="preserve"/>
        </is>
      </c>
      <c r="T922" s="0" t="inlineStr">
        <is>
          <t xml:space="preserve"/>
        </is>
      </c>
      <c r="U922" s="0" t="inlineStr">
        <is>
          <t xml:space="preserve"/>
        </is>
      </c>
      <c r="V922" s="0" t="inlineStr">
        <is>
          <t xml:space="preserve"/>
        </is>
      </c>
      <c r="W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 t="inlineStr">
        <is>
          <t xml:space="preserve"/>
        </is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>
        <f>IF(E923="","",IF(OR(ISNUMBER(SEARCH("狼",E923)),ISNUMBER(SEARCH("石像鬼",E923)),ISNUMBER(SEARCH("恶灵骑士",E923)),ISNUMBER(SEARCH("黑蝙蝠",E923)),ISNUMBER(SEARCH("血月使徒",E923))),"werewolves","villagers"))</f>
      </c>
      <c r="M923" s="0">
        <f>IF(F923="","",IF(ROUND(F923,2)=5,"win","loss"))</f>
      </c>
      <c r="N923" s="0" t="inlineStr">
        <is>
          <t xml:space="preserve"/>
        </is>
      </c>
      <c r="O923" s="0" t="inlineStr">
        <is>
          <t xml:space="preserve"/>
        </is>
      </c>
      <c r="P923" s="0" t="inlineStr">
        <is>
          <t xml:space="preserve"/>
        </is>
      </c>
      <c r="Q923" s="0" t="inlineStr">
        <is>
          <t xml:space="preserve"/>
        </is>
      </c>
      <c r="R923" s="0">
        <f>IF(D923="","",IFERROR(LOOKUP(2,1/(($D$2:$D$1001=D923)*($M$2:$M$1001="win")),$L$2:$L$1001),""))</f>
      </c>
      <c r="S923" s="0" t="inlineStr">
        <is>
          <t xml:space="preserve"/>
        </is>
      </c>
      <c r="T923" s="0" t="inlineStr">
        <is>
          <t xml:space="preserve"/>
        </is>
      </c>
      <c r="U923" s="0" t="inlineStr">
        <is>
          <t xml:space="preserve"/>
        </is>
      </c>
      <c r="V923" s="0" t="inlineStr">
        <is>
          <t xml:space="preserve"/>
        </is>
      </c>
      <c r="W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 t="inlineStr">
        <is>
          <t xml:space="preserve"/>
        </is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>
        <f>IF(E924="","",IF(OR(ISNUMBER(SEARCH("狼",E924)),ISNUMBER(SEARCH("石像鬼",E924)),ISNUMBER(SEARCH("恶灵骑士",E924)),ISNUMBER(SEARCH("黑蝙蝠",E924)),ISNUMBER(SEARCH("血月使徒",E924))),"werewolves","villagers"))</f>
      </c>
      <c r="M924" s="0">
        <f>IF(F924="","",IF(ROUND(F924,2)=5,"win","loss"))</f>
      </c>
      <c r="N924" s="0" t="inlineStr">
        <is>
          <t xml:space="preserve"/>
        </is>
      </c>
      <c r="O924" s="0" t="inlineStr">
        <is>
          <t xml:space="preserve"/>
        </is>
      </c>
      <c r="P924" s="0" t="inlineStr">
        <is>
          <t xml:space="preserve"/>
        </is>
      </c>
      <c r="Q924" s="0" t="inlineStr">
        <is>
          <t xml:space="preserve"/>
        </is>
      </c>
      <c r="R924" s="0">
        <f>IF(D924="","",IFERROR(LOOKUP(2,1/(($D$2:$D$1001=D924)*($M$2:$M$1001="win")),$L$2:$L$1001),""))</f>
      </c>
      <c r="S924" s="0" t="inlineStr">
        <is>
          <t xml:space="preserve"/>
        </is>
      </c>
      <c r="T924" s="0" t="inlineStr">
        <is>
          <t xml:space="preserve"/>
        </is>
      </c>
      <c r="U924" s="0" t="inlineStr">
        <is>
          <t xml:space="preserve"/>
        </is>
      </c>
      <c r="V924" s="0" t="inlineStr">
        <is>
          <t xml:space="preserve"/>
        </is>
      </c>
      <c r="W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 t="inlineStr">
        <is>
          <t xml:space="preserve"/>
        </is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>
        <f>IF(E925="","",IF(OR(ISNUMBER(SEARCH("狼",E925)),ISNUMBER(SEARCH("石像鬼",E925)),ISNUMBER(SEARCH("恶灵骑士",E925)),ISNUMBER(SEARCH("黑蝙蝠",E925)),ISNUMBER(SEARCH("血月使徒",E925))),"werewolves","villagers"))</f>
      </c>
      <c r="M925" s="0">
        <f>IF(F925="","",IF(ROUND(F925,2)=5,"win","loss"))</f>
      </c>
      <c r="N925" s="0" t="inlineStr">
        <is>
          <t xml:space="preserve"/>
        </is>
      </c>
      <c r="O925" s="0" t="inlineStr">
        <is>
          <t xml:space="preserve"/>
        </is>
      </c>
      <c r="P925" s="0" t="inlineStr">
        <is>
          <t xml:space="preserve"/>
        </is>
      </c>
      <c r="Q925" s="0" t="inlineStr">
        <is>
          <t xml:space="preserve"/>
        </is>
      </c>
      <c r="R925" s="0">
        <f>IF(D925="","",IFERROR(LOOKUP(2,1/(($D$2:$D$1001=D925)*($M$2:$M$1001="win")),$L$2:$L$1001),""))</f>
      </c>
      <c r="S925" s="0" t="inlineStr">
        <is>
          <t xml:space="preserve"/>
        </is>
      </c>
      <c r="T925" s="0" t="inlineStr">
        <is>
          <t xml:space="preserve"/>
        </is>
      </c>
      <c r="U925" s="0" t="inlineStr">
        <is>
          <t xml:space="preserve"/>
        </is>
      </c>
      <c r="V925" s="0" t="inlineStr">
        <is>
          <t xml:space="preserve"/>
        </is>
      </c>
      <c r="W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>
        <f>IF(E926="","",IF(OR(ISNUMBER(SEARCH("狼",E926)),ISNUMBER(SEARCH("石像鬼",E926)),ISNUMBER(SEARCH("恶灵骑士",E926)),ISNUMBER(SEARCH("黑蝙蝠",E926)),ISNUMBER(SEARCH("血月使徒",E926))),"werewolves","villagers"))</f>
      </c>
      <c r="M926" s="0">
        <f>IF(F926="","",IF(ROUND(F926,2)=5,"win","loss"))</f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>
        <f>IF(D926="","",IFERROR(LOOKUP(2,1/(($D$2:$D$1001=D926)*($M$2:$M$1001="win")),$L$2:$L$1001),""))</f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 t="inlineStr">
        <is>
          <t xml:space="preserve"/>
        </is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>
        <f>IF(E927="","",IF(OR(ISNUMBER(SEARCH("狼",E927)),ISNUMBER(SEARCH("石像鬼",E927)),ISNUMBER(SEARCH("恶灵骑士",E927)),ISNUMBER(SEARCH("黑蝙蝠",E927)),ISNUMBER(SEARCH("血月使徒",E927))),"werewolves","villagers"))</f>
      </c>
      <c r="M927" s="0">
        <f>IF(F927="","",IF(ROUND(F927,2)=5,"win","loss"))</f>
      </c>
      <c r="N927" s="0" t="inlineStr">
        <is>
          <t xml:space="preserve"/>
        </is>
      </c>
      <c r="O927" s="0" t="inlineStr">
        <is>
          <t xml:space="preserve"/>
        </is>
      </c>
      <c r="P927" s="0" t="inlineStr">
        <is>
          <t xml:space="preserve"/>
        </is>
      </c>
      <c r="Q927" s="0" t="inlineStr">
        <is>
          <t xml:space="preserve"/>
        </is>
      </c>
      <c r="R927" s="0">
        <f>IF(D927="","",IFERROR(LOOKUP(2,1/(($D$2:$D$1001=D927)*($M$2:$M$1001="win")),$L$2:$L$1001),""))</f>
      </c>
      <c r="S927" s="0" t="inlineStr">
        <is>
          <t xml:space="preserve"/>
        </is>
      </c>
      <c r="T927" s="0" t="inlineStr">
        <is>
          <t xml:space="preserve"/>
        </is>
      </c>
      <c r="U927" s="0" t="inlineStr">
        <is>
          <t xml:space="preserve"/>
        </is>
      </c>
      <c r="V927" s="0" t="inlineStr">
        <is>
          <t xml:space="preserve"/>
        </is>
      </c>
      <c r="W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 t="inlineStr">
        <is>
          <t xml:space="preserve"/>
        </is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>
        <f>IF(E928="","",IF(OR(ISNUMBER(SEARCH("狼",E928)),ISNUMBER(SEARCH("石像鬼",E928)),ISNUMBER(SEARCH("恶灵骑士",E928)),ISNUMBER(SEARCH("黑蝙蝠",E928)),ISNUMBER(SEARCH("血月使徒",E928))),"werewolves","villagers"))</f>
      </c>
      <c r="M928" s="0">
        <f>IF(F928="","",IF(ROUND(F928,2)=5,"win","loss"))</f>
      </c>
      <c r="N928" s="0" t="inlineStr">
        <is>
          <t xml:space="preserve"/>
        </is>
      </c>
      <c r="O928" s="0" t="inlineStr">
        <is>
          <t xml:space="preserve"/>
        </is>
      </c>
      <c r="P928" s="0" t="inlineStr">
        <is>
          <t xml:space="preserve"/>
        </is>
      </c>
      <c r="Q928" s="0" t="inlineStr">
        <is>
          <t xml:space="preserve"/>
        </is>
      </c>
      <c r="R928" s="0">
        <f>IF(D928="","",IFERROR(LOOKUP(2,1/(($D$2:$D$1001=D928)*($M$2:$M$1001="win")),$L$2:$L$1001),""))</f>
      </c>
      <c r="S928" s="0" t="inlineStr">
        <is>
          <t xml:space="preserve"/>
        </is>
      </c>
      <c r="T928" s="0" t="inlineStr">
        <is>
          <t xml:space="preserve"/>
        </is>
      </c>
      <c r="U928" s="0" t="inlineStr">
        <is>
          <t xml:space="preserve"/>
        </is>
      </c>
      <c r="V928" s="0" t="inlineStr">
        <is>
          <t xml:space="preserve"/>
        </is>
      </c>
      <c r="W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 t="inlineStr">
        <is>
          <t xml:space="preserve"/>
        </is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>
        <f>IF(E929="","",IF(OR(ISNUMBER(SEARCH("狼",E929)),ISNUMBER(SEARCH("石像鬼",E929)),ISNUMBER(SEARCH("恶灵骑士",E929)),ISNUMBER(SEARCH("黑蝙蝠",E929)),ISNUMBER(SEARCH("血月使徒",E929))),"werewolves","villagers"))</f>
      </c>
      <c r="M929" s="0">
        <f>IF(F929="","",IF(ROUND(F929,2)=5,"win","loss"))</f>
      </c>
      <c r="N929" s="0" t="inlineStr">
        <is>
          <t xml:space="preserve"/>
        </is>
      </c>
      <c r="O929" s="0" t="inlineStr">
        <is>
          <t xml:space="preserve"/>
        </is>
      </c>
      <c r="P929" s="0" t="inlineStr">
        <is>
          <t xml:space="preserve"/>
        </is>
      </c>
      <c r="Q929" s="0" t="inlineStr">
        <is>
          <t xml:space="preserve"/>
        </is>
      </c>
      <c r="R929" s="0">
        <f>IF(D929="","",IFERROR(LOOKUP(2,1/(($D$2:$D$1001=D929)*($M$2:$M$1001="win")),$L$2:$L$1001),""))</f>
      </c>
      <c r="S929" s="0" t="inlineStr">
        <is>
          <t xml:space="preserve"/>
        </is>
      </c>
      <c r="T929" s="0" t="inlineStr">
        <is>
          <t xml:space="preserve"/>
        </is>
      </c>
      <c r="U929" s="0" t="inlineStr">
        <is>
          <t xml:space="preserve"/>
        </is>
      </c>
      <c r="V929" s="0" t="inlineStr">
        <is>
          <t xml:space="preserve"/>
        </is>
      </c>
      <c r="W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>
        <f>IF(E930="","",IF(OR(ISNUMBER(SEARCH("狼",E930)),ISNUMBER(SEARCH("石像鬼",E930)),ISNUMBER(SEARCH("恶灵骑士",E930)),ISNUMBER(SEARCH("黑蝙蝠",E930)),ISNUMBER(SEARCH("血月使徒",E930))),"werewolves","villagers"))</f>
      </c>
      <c r="M930" s="0">
        <f>IF(F930="","",IF(ROUND(F930,2)=5,"win","loss"))</f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>
        <f>IF(D930="","",IFERROR(LOOKUP(2,1/(($D$2:$D$1001=D930)*($M$2:$M$1001="win")),$L$2:$L$1001),""))</f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 t="inlineStr">
        <is>
          <t xml:space="preserve"/>
        </is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>
        <f>IF(E931="","",IF(OR(ISNUMBER(SEARCH("狼",E931)),ISNUMBER(SEARCH("石像鬼",E931)),ISNUMBER(SEARCH("恶灵骑士",E931)),ISNUMBER(SEARCH("黑蝙蝠",E931)),ISNUMBER(SEARCH("血月使徒",E931))),"werewolves","villagers"))</f>
      </c>
      <c r="M931" s="0">
        <f>IF(F931="","",IF(ROUND(F931,2)=5,"win","loss"))</f>
      </c>
      <c r="N931" s="0" t="inlineStr">
        <is>
          <t xml:space="preserve"/>
        </is>
      </c>
      <c r="O931" s="0" t="inlineStr">
        <is>
          <t xml:space="preserve"/>
        </is>
      </c>
      <c r="P931" s="0" t="inlineStr">
        <is>
          <t xml:space="preserve"/>
        </is>
      </c>
      <c r="Q931" s="0" t="inlineStr">
        <is>
          <t xml:space="preserve"/>
        </is>
      </c>
      <c r="R931" s="0">
        <f>IF(D931="","",IFERROR(LOOKUP(2,1/(($D$2:$D$1001=D931)*($M$2:$M$1001="win")),$L$2:$L$1001),""))</f>
      </c>
      <c r="S931" s="0" t="inlineStr">
        <is>
          <t xml:space="preserve"/>
        </is>
      </c>
      <c r="T931" s="0" t="inlineStr">
        <is>
          <t xml:space="preserve"/>
        </is>
      </c>
      <c r="U931" s="0" t="inlineStr">
        <is>
          <t xml:space="preserve"/>
        </is>
      </c>
      <c r="V931" s="0" t="inlineStr">
        <is>
          <t xml:space="preserve"/>
        </is>
      </c>
      <c r="W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 t="inlineStr">
        <is>
          <t xml:space="preserve"/>
        </is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>
        <f>IF(E932="","",IF(OR(ISNUMBER(SEARCH("狼",E932)),ISNUMBER(SEARCH("石像鬼",E932)),ISNUMBER(SEARCH("恶灵骑士",E932)),ISNUMBER(SEARCH("黑蝙蝠",E932)),ISNUMBER(SEARCH("血月使徒",E932))),"werewolves","villagers"))</f>
      </c>
      <c r="M932" s="0">
        <f>IF(F932="","",IF(ROUND(F932,2)=5,"win","loss"))</f>
      </c>
      <c r="N932" s="0" t="inlineStr">
        <is>
          <t xml:space="preserve"/>
        </is>
      </c>
      <c r="O932" s="0" t="inlineStr">
        <is>
          <t xml:space="preserve"/>
        </is>
      </c>
      <c r="P932" s="0" t="inlineStr">
        <is>
          <t xml:space="preserve"/>
        </is>
      </c>
      <c r="Q932" s="0" t="inlineStr">
        <is>
          <t xml:space="preserve"/>
        </is>
      </c>
      <c r="R932" s="0">
        <f>IF(D932="","",IFERROR(LOOKUP(2,1/(($D$2:$D$1001=D932)*($M$2:$M$1001="win")),$L$2:$L$1001),""))</f>
      </c>
      <c r="S932" s="0" t="inlineStr">
        <is>
          <t xml:space="preserve"/>
        </is>
      </c>
      <c r="T932" s="0" t="inlineStr">
        <is>
          <t xml:space="preserve"/>
        </is>
      </c>
      <c r="U932" s="0" t="inlineStr">
        <is>
          <t xml:space="preserve"/>
        </is>
      </c>
      <c r="V932" s="0" t="inlineStr">
        <is>
          <t xml:space="preserve"/>
        </is>
      </c>
      <c r="W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 t="inlineStr">
        <is>
          <t xml:space="preserve"/>
        </is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>
        <f>IF(E933="","",IF(OR(ISNUMBER(SEARCH("狼",E933)),ISNUMBER(SEARCH("石像鬼",E933)),ISNUMBER(SEARCH("恶灵骑士",E933)),ISNUMBER(SEARCH("黑蝙蝠",E933)),ISNUMBER(SEARCH("血月使徒",E933))),"werewolves","villagers"))</f>
      </c>
      <c r="M933" s="0">
        <f>IF(F933="","",IF(ROUND(F933,2)=5,"win","loss"))</f>
      </c>
      <c r="N933" s="0" t="inlineStr">
        <is>
          <t xml:space="preserve"/>
        </is>
      </c>
      <c r="O933" s="0" t="inlineStr">
        <is>
          <t xml:space="preserve"/>
        </is>
      </c>
      <c r="P933" s="0" t="inlineStr">
        <is>
          <t xml:space="preserve"/>
        </is>
      </c>
      <c r="Q933" s="0" t="inlineStr">
        <is>
          <t xml:space="preserve"/>
        </is>
      </c>
      <c r="R933" s="0">
        <f>IF(D933="","",IFERROR(LOOKUP(2,1/(($D$2:$D$1001=D933)*($M$2:$M$1001="win")),$L$2:$L$1001),""))</f>
      </c>
      <c r="S933" s="0" t="inlineStr">
        <is>
          <t xml:space="preserve"/>
        </is>
      </c>
      <c r="T933" s="0" t="inlineStr">
        <is>
          <t xml:space="preserve"/>
        </is>
      </c>
      <c r="U933" s="0" t="inlineStr">
        <is>
          <t xml:space="preserve"/>
        </is>
      </c>
      <c r="V933" s="0" t="inlineStr">
        <is>
          <t xml:space="preserve"/>
        </is>
      </c>
      <c r="W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 t="inlineStr">
        <is>
          <t xml:space="preserve"/>
        </is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>
        <f>IF(E934="","",IF(OR(ISNUMBER(SEARCH("狼",E934)),ISNUMBER(SEARCH("石像鬼",E934)),ISNUMBER(SEARCH("恶灵骑士",E934)),ISNUMBER(SEARCH("黑蝙蝠",E934)),ISNUMBER(SEARCH("血月使徒",E934))),"werewolves","villagers"))</f>
      </c>
      <c r="M934" s="0">
        <f>IF(F934="","",IF(ROUND(F934,2)=5,"win","loss"))</f>
      </c>
      <c r="N934" s="0" t="inlineStr">
        <is>
          <t xml:space="preserve"/>
        </is>
      </c>
      <c r="O934" s="0" t="inlineStr">
        <is>
          <t xml:space="preserve"/>
        </is>
      </c>
      <c r="P934" s="0" t="inlineStr">
        <is>
          <t xml:space="preserve"/>
        </is>
      </c>
      <c r="Q934" s="0" t="inlineStr">
        <is>
          <t xml:space="preserve"/>
        </is>
      </c>
      <c r="R934" s="0">
        <f>IF(D934="","",IFERROR(LOOKUP(2,1/(($D$2:$D$1001=D934)*($M$2:$M$1001="win")),$L$2:$L$1001),""))</f>
      </c>
      <c r="S934" s="0" t="inlineStr">
        <is>
          <t xml:space="preserve"/>
        </is>
      </c>
      <c r="T934" s="0" t="inlineStr">
        <is>
          <t xml:space="preserve"/>
        </is>
      </c>
      <c r="U934" s="0" t="inlineStr">
        <is>
          <t xml:space="preserve"/>
        </is>
      </c>
      <c r="V934" s="0" t="inlineStr">
        <is>
          <t xml:space="preserve"/>
        </is>
      </c>
      <c r="W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>
        <f>IF(E935="","",IF(OR(ISNUMBER(SEARCH("狼",E935)),ISNUMBER(SEARCH("石像鬼",E935)),ISNUMBER(SEARCH("恶灵骑士",E935)),ISNUMBER(SEARCH("黑蝙蝠",E935)),ISNUMBER(SEARCH("血月使徒",E935))),"werewolves","villagers"))</f>
      </c>
      <c r="M935" s="0">
        <f>IF(F935="","",IF(ROUND(F935,2)=5,"win","loss"))</f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>
        <f>IF(D935="","",IFERROR(LOOKUP(2,1/(($D$2:$D$1001=D935)*($M$2:$M$1001="win")),$L$2:$L$1001),""))</f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 t="inlineStr">
        <is>
          <t xml:space="preserve"/>
        </is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>
        <f>IF(E936="","",IF(OR(ISNUMBER(SEARCH("狼",E936)),ISNUMBER(SEARCH("石像鬼",E936)),ISNUMBER(SEARCH("恶灵骑士",E936)),ISNUMBER(SEARCH("黑蝙蝠",E936)),ISNUMBER(SEARCH("血月使徒",E936))),"werewolves","villagers"))</f>
      </c>
      <c r="M936" s="0">
        <f>IF(F936="","",IF(ROUND(F936,2)=5,"win","loss"))</f>
      </c>
      <c r="N936" s="0" t="inlineStr">
        <is>
          <t xml:space="preserve"/>
        </is>
      </c>
      <c r="O936" s="0" t="inlineStr">
        <is>
          <t xml:space="preserve"/>
        </is>
      </c>
      <c r="P936" s="0" t="inlineStr">
        <is>
          <t xml:space="preserve"/>
        </is>
      </c>
      <c r="Q936" s="0" t="inlineStr">
        <is>
          <t xml:space="preserve"/>
        </is>
      </c>
      <c r="R936" s="0">
        <f>IF(D936="","",IFERROR(LOOKUP(2,1/(($D$2:$D$1001=D936)*($M$2:$M$1001="win")),$L$2:$L$1001),""))</f>
      </c>
      <c r="S936" s="0" t="inlineStr">
        <is>
          <t xml:space="preserve"/>
        </is>
      </c>
      <c r="T936" s="0" t="inlineStr">
        <is>
          <t xml:space="preserve"/>
        </is>
      </c>
      <c r="U936" s="0" t="inlineStr">
        <is>
          <t xml:space="preserve"/>
        </is>
      </c>
      <c r="V936" s="0" t="inlineStr">
        <is>
          <t xml:space="preserve"/>
        </is>
      </c>
      <c r="W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>
        <f>IF(E937="","",IF(OR(ISNUMBER(SEARCH("狼",E937)),ISNUMBER(SEARCH("石像鬼",E937)),ISNUMBER(SEARCH("恶灵骑士",E937)),ISNUMBER(SEARCH("黑蝙蝠",E937)),ISNUMBER(SEARCH("血月使徒",E937))),"werewolves","villagers"))</f>
      </c>
      <c r="M937" s="0">
        <f>IF(F937="","",IF(ROUND(F937,2)=5,"win","loss"))</f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>
        <f>IF(D937="","",IFERROR(LOOKUP(2,1/(($D$2:$D$1001=D937)*($M$2:$M$1001="win")),$L$2:$L$1001),""))</f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 t="inlineStr">
        <is>
          <t xml:space="preserve"/>
        </is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>
        <f>IF(E938="","",IF(OR(ISNUMBER(SEARCH("狼",E938)),ISNUMBER(SEARCH("石像鬼",E938)),ISNUMBER(SEARCH("恶灵骑士",E938)),ISNUMBER(SEARCH("黑蝙蝠",E938)),ISNUMBER(SEARCH("血月使徒",E938))),"werewolves","villagers"))</f>
      </c>
      <c r="M938" s="0">
        <f>IF(F938="","",IF(ROUND(F938,2)=5,"win","loss"))</f>
      </c>
      <c r="N938" s="0" t="inlineStr">
        <is>
          <t xml:space="preserve"/>
        </is>
      </c>
      <c r="O938" s="0" t="inlineStr">
        <is>
          <t xml:space="preserve"/>
        </is>
      </c>
      <c r="P938" s="0" t="inlineStr">
        <is>
          <t xml:space="preserve"/>
        </is>
      </c>
      <c r="Q938" s="0" t="inlineStr">
        <is>
          <t xml:space="preserve"/>
        </is>
      </c>
      <c r="R938" s="0">
        <f>IF(D938="","",IFERROR(LOOKUP(2,1/(($D$2:$D$1001=D938)*($M$2:$M$1001="win")),$L$2:$L$1001),""))</f>
      </c>
      <c r="S938" s="0" t="inlineStr">
        <is>
          <t xml:space="preserve"/>
        </is>
      </c>
      <c r="T938" s="0" t="inlineStr">
        <is>
          <t xml:space="preserve"/>
        </is>
      </c>
      <c r="U938" s="0" t="inlineStr">
        <is>
          <t xml:space="preserve"/>
        </is>
      </c>
      <c r="V938" s="0" t="inlineStr">
        <is>
          <t xml:space="preserve"/>
        </is>
      </c>
      <c r="W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>
        <f>IF(E939="","",IF(OR(ISNUMBER(SEARCH("狼",E939)),ISNUMBER(SEARCH("石像鬼",E939)),ISNUMBER(SEARCH("恶灵骑士",E939)),ISNUMBER(SEARCH("黑蝙蝠",E939)),ISNUMBER(SEARCH("血月使徒",E939))),"werewolves","villagers"))</f>
      </c>
      <c r="M939" s="0">
        <f>IF(F939="","",IF(ROUND(F939,2)=5,"win","loss"))</f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>
        <f>IF(D939="","",IFERROR(LOOKUP(2,1/(($D$2:$D$1001=D939)*($M$2:$M$1001="win")),$L$2:$L$1001),""))</f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>
        <f>IF(E940="","",IF(OR(ISNUMBER(SEARCH("狼",E940)),ISNUMBER(SEARCH("石像鬼",E940)),ISNUMBER(SEARCH("恶灵骑士",E940)),ISNUMBER(SEARCH("黑蝙蝠",E940)),ISNUMBER(SEARCH("血月使徒",E940))),"werewolves","villagers"))</f>
      </c>
      <c r="M940" s="0">
        <f>IF(F940="","",IF(ROUND(F940,2)=5,"win","loss"))</f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>
        <f>IF(D940="","",IFERROR(LOOKUP(2,1/(($D$2:$D$1001=D940)*($M$2:$M$1001="win")),$L$2:$L$1001),""))</f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 t="inlineStr">
        <is>
          <t xml:space="preserve"/>
        </is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>
        <f>IF(E941="","",IF(OR(ISNUMBER(SEARCH("狼",E941)),ISNUMBER(SEARCH("石像鬼",E941)),ISNUMBER(SEARCH("恶灵骑士",E941)),ISNUMBER(SEARCH("黑蝙蝠",E941)),ISNUMBER(SEARCH("血月使徒",E941))),"werewolves","villagers"))</f>
      </c>
      <c r="M941" s="0">
        <f>IF(F941="","",IF(ROUND(F941,2)=5,"win","loss"))</f>
      </c>
      <c r="N941" s="0" t="inlineStr">
        <is>
          <t xml:space="preserve"/>
        </is>
      </c>
      <c r="O941" s="0" t="inlineStr">
        <is>
          <t xml:space="preserve"/>
        </is>
      </c>
      <c r="P941" s="0" t="inlineStr">
        <is>
          <t xml:space="preserve"/>
        </is>
      </c>
      <c r="Q941" s="0" t="inlineStr">
        <is>
          <t xml:space="preserve"/>
        </is>
      </c>
      <c r="R941" s="0">
        <f>IF(D941="","",IFERROR(LOOKUP(2,1/(($D$2:$D$1001=D941)*($M$2:$M$1001="win")),$L$2:$L$1001),""))</f>
      </c>
      <c r="S941" s="0" t="inlineStr">
        <is>
          <t xml:space="preserve"/>
        </is>
      </c>
      <c r="T941" s="0" t="inlineStr">
        <is>
          <t xml:space="preserve"/>
        </is>
      </c>
      <c r="U941" s="0" t="inlineStr">
        <is>
          <t xml:space="preserve"/>
        </is>
      </c>
      <c r="V941" s="0" t="inlineStr">
        <is>
          <t xml:space="preserve"/>
        </is>
      </c>
      <c r="W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>
        <f>IF(E942="","",IF(OR(ISNUMBER(SEARCH("狼",E942)),ISNUMBER(SEARCH("石像鬼",E942)),ISNUMBER(SEARCH("恶灵骑士",E942)),ISNUMBER(SEARCH("黑蝙蝠",E942)),ISNUMBER(SEARCH("血月使徒",E942))),"werewolves","villagers"))</f>
      </c>
      <c r="M942" s="0">
        <f>IF(F942="","",IF(ROUND(F942,2)=5,"win","loss"))</f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>
        <f>IF(D942="","",IFERROR(LOOKUP(2,1/(($D$2:$D$1001=D942)*($M$2:$M$1001="win")),$L$2:$L$1001),""))</f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>
        <f>IF(E943="","",IF(OR(ISNUMBER(SEARCH("狼",E943)),ISNUMBER(SEARCH("石像鬼",E943)),ISNUMBER(SEARCH("恶灵骑士",E943)),ISNUMBER(SEARCH("黑蝙蝠",E943)),ISNUMBER(SEARCH("血月使徒",E943))),"werewolves","villagers"))</f>
      </c>
      <c r="M943" s="0">
        <f>IF(F943="","",IF(ROUND(F943,2)=5,"win","loss"))</f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>
        <f>IF(D943="","",IFERROR(LOOKUP(2,1/(($D$2:$D$1001=D943)*($M$2:$M$1001="win")),$L$2:$L$1001),""))</f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 t="inlineStr">
        <is>
          <t xml:space="preserve"/>
        </is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>
        <f>IF(E944="","",IF(OR(ISNUMBER(SEARCH("狼",E944)),ISNUMBER(SEARCH("石像鬼",E944)),ISNUMBER(SEARCH("恶灵骑士",E944)),ISNUMBER(SEARCH("黑蝙蝠",E944)),ISNUMBER(SEARCH("血月使徒",E944))),"werewolves","villagers"))</f>
      </c>
      <c r="M944" s="0">
        <f>IF(F944="","",IF(ROUND(F944,2)=5,"win","loss"))</f>
      </c>
      <c r="N944" s="0" t="inlineStr">
        <is>
          <t xml:space="preserve"/>
        </is>
      </c>
      <c r="O944" s="0" t="inlineStr">
        <is>
          <t xml:space="preserve"/>
        </is>
      </c>
      <c r="P944" s="0" t="inlineStr">
        <is>
          <t xml:space="preserve"/>
        </is>
      </c>
      <c r="Q944" s="0" t="inlineStr">
        <is>
          <t xml:space="preserve"/>
        </is>
      </c>
      <c r="R944" s="0">
        <f>IF(D944="","",IFERROR(LOOKUP(2,1/(($D$2:$D$1001=D944)*($M$2:$M$1001="win")),$L$2:$L$1001),""))</f>
      </c>
      <c r="S944" s="0" t="inlineStr">
        <is>
          <t xml:space="preserve"/>
        </is>
      </c>
      <c r="T944" s="0" t="inlineStr">
        <is>
          <t xml:space="preserve"/>
        </is>
      </c>
      <c r="U944" s="0" t="inlineStr">
        <is>
          <t xml:space="preserve"/>
        </is>
      </c>
      <c r="V944" s="0" t="inlineStr">
        <is>
          <t xml:space="preserve"/>
        </is>
      </c>
      <c r="W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 t="inlineStr">
        <is>
          <t xml:space="preserve"/>
        </is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>
        <f>IF(E945="","",IF(OR(ISNUMBER(SEARCH("狼",E945)),ISNUMBER(SEARCH("石像鬼",E945)),ISNUMBER(SEARCH("恶灵骑士",E945)),ISNUMBER(SEARCH("黑蝙蝠",E945)),ISNUMBER(SEARCH("血月使徒",E945))),"werewolves","villagers"))</f>
      </c>
      <c r="M945" s="0">
        <f>IF(F945="","",IF(ROUND(F945,2)=5,"win","loss"))</f>
      </c>
      <c r="N945" s="0" t="inlineStr">
        <is>
          <t xml:space="preserve"/>
        </is>
      </c>
      <c r="O945" s="0" t="inlineStr">
        <is>
          <t xml:space="preserve"/>
        </is>
      </c>
      <c r="P945" s="0" t="inlineStr">
        <is>
          <t xml:space="preserve"/>
        </is>
      </c>
      <c r="Q945" s="0" t="inlineStr">
        <is>
          <t xml:space="preserve"/>
        </is>
      </c>
      <c r="R945" s="0">
        <f>IF(D945="","",IFERROR(LOOKUP(2,1/(($D$2:$D$1001=D945)*($M$2:$M$1001="win")),$L$2:$L$1001),""))</f>
      </c>
      <c r="S945" s="0" t="inlineStr">
        <is>
          <t xml:space="preserve"/>
        </is>
      </c>
      <c r="T945" s="0" t="inlineStr">
        <is>
          <t xml:space="preserve"/>
        </is>
      </c>
      <c r="U945" s="0" t="inlineStr">
        <is>
          <t xml:space="preserve"/>
        </is>
      </c>
      <c r="V945" s="0" t="inlineStr">
        <is>
          <t xml:space="preserve"/>
        </is>
      </c>
      <c r="W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 t="inlineStr">
        <is>
          <t xml:space="preserve"/>
        </is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>
        <f>IF(E946="","",IF(OR(ISNUMBER(SEARCH("狼",E946)),ISNUMBER(SEARCH("石像鬼",E946)),ISNUMBER(SEARCH("恶灵骑士",E946)),ISNUMBER(SEARCH("黑蝙蝠",E946)),ISNUMBER(SEARCH("血月使徒",E946))),"werewolves","villagers"))</f>
      </c>
      <c r="M946" s="0">
        <f>IF(F946="","",IF(ROUND(F946,2)=5,"win","loss"))</f>
      </c>
      <c r="N946" s="0" t="inlineStr">
        <is>
          <t xml:space="preserve"/>
        </is>
      </c>
      <c r="O946" s="0" t="inlineStr">
        <is>
          <t xml:space="preserve"/>
        </is>
      </c>
      <c r="P946" s="0" t="inlineStr">
        <is>
          <t xml:space="preserve"/>
        </is>
      </c>
      <c r="Q946" s="0" t="inlineStr">
        <is>
          <t xml:space="preserve"/>
        </is>
      </c>
      <c r="R946" s="0">
        <f>IF(D946="","",IFERROR(LOOKUP(2,1/(($D$2:$D$1001=D946)*($M$2:$M$1001="win")),$L$2:$L$1001),""))</f>
      </c>
      <c r="S946" s="0" t="inlineStr">
        <is>
          <t xml:space="preserve"/>
        </is>
      </c>
      <c r="T946" s="0" t="inlineStr">
        <is>
          <t xml:space="preserve"/>
        </is>
      </c>
      <c r="U946" s="0" t="inlineStr">
        <is>
          <t xml:space="preserve"/>
        </is>
      </c>
      <c r="V946" s="0" t="inlineStr">
        <is>
          <t xml:space="preserve"/>
        </is>
      </c>
      <c r="W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>
        <f>IF(E947="","",IF(OR(ISNUMBER(SEARCH("狼",E947)),ISNUMBER(SEARCH("石像鬼",E947)),ISNUMBER(SEARCH("恶灵骑士",E947)),ISNUMBER(SEARCH("黑蝙蝠",E947)),ISNUMBER(SEARCH("血月使徒",E947))),"werewolves","villagers"))</f>
      </c>
      <c r="M947" s="0">
        <f>IF(F947="","",IF(ROUND(F947,2)=5,"win","loss"))</f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>
        <f>IF(D947="","",IFERROR(LOOKUP(2,1/(($D$2:$D$1001=D947)*($M$2:$M$1001="win")),$L$2:$L$1001),""))</f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>
        <f>IF(E948="","",IF(OR(ISNUMBER(SEARCH("狼",E948)),ISNUMBER(SEARCH("石像鬼",E948)),ISNUMBER(SEARCH("恶灵骑士",E948)),ISNUMBER(SEARCH("黑蝙蝠",E948)),ISNUMBER(SEARCH("血月使徒",E948))),"werewolves","villagers"))</f>
      </c>
      <c r="M948" s="0">
        <f>IF(F948="","",IF(ROUND(F948,2)=5,"win","loss"))</f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>
        <f>IF(D948="","",IFERROR(LOOKUP(2,1/(($D$2:$D$1001=D948)*($M$2:$M$1001="win")),$L$2:$L$1001),""))</f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>
        <f>IF(E949="","",IF(OR(ISNUMBER(SEARCH("狼",E949)),ISNUMBER(SEARCH("石像鬼",E949)),ISNUMBER(SEARCH("恶灵骑士",E949)),ISNUMBER(SEARCH("黑蝙蝠",E949)),ISNUMBER(SEARCH("血月使徒",E949))),"werewolves","villagers"))</f>
      </c>
      <c r="M949" s="0">
        <f>IF(F949="","",IF(ROUND(F949,2)=5,"win","loss"))</f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>
        <f>IF(D949="","",IFERROR(LOOKUP(2,1/(($D$2:$D$1001=D949)*($M$2:$M$1001="win")),$L$2:$L$1001),""))</f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>
        <f>IF(E950="","",IF(OR(ISNUMBER(SEARCH("狼",E950)),ISNUMBER(SEARCH("石像鬼",E950)),ISNUMBER(SEARCH("恶灵骑士",E950)),ISNUMBER(SEARCH("黑蝙蝠",E950)),ISNUMBER(SEARCH("血月使徒",E950))),"werewolves","villagers"))</f>
      </c>
      <c r="M950" s="0">
        <f>IF(F950="","",IF(ROUND(F950,2)=5,"win","loss"))</f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>
        <f>IF(D950="","",IFERROR(LOOKUP(2,1/(($D$2:$D$1001=D950)*($M$2:$M$1001="win")),$L$2:$L$1001),""))</f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>
        <f>IF(E951="","",IF(OR(ISNUMBER(SEARCH("狼",E951)),ISNUMBER(SEARCH("石像鬼",E951)),ISNUMBER(SEARCH("恶灵骑士",E951)),ISNUMBER(SEARCH("黑蝙蝠",E951)),ISNUMBER(SEARCH("血月使徒",E951))),"werewolves","villagers"))</f>
      </c>
      <c r="M951" s="0">
        <f>IF(F951="","",IF(ROUND(F951,2)=5,"win","loss"))</f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>
        <f>IF(D951="","",IFERROR(LOOKUP(2,1/(($D$2:$D$1001=D951)*($M$2:$M$1001="win")),$L$2:$L$1001),""))</f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 t="inlineStr">
        <is>
          <t xml:space="preserve"/>
        </is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>
        <f>IF(E952="","",IF(OR(ISNUMBER(SEARCH("狼",E952)),ISNUMBER(SEARCH("石像鬼",E952)),ISNUMBER(SEARCH("恶灵骑士",E952)),ISNUMBER(SEARCH("黑蝙蝠",E952)),ISNUMBER(SEARCH("血月使徒",E952))),"werewolves","villagers"))</f>
      </c>
      <c r="M952" s="0">
        <f>IF(F952="","",IF(ROUND(F952,2)=5,"win","loss"))</f>
      </c>
      <c r="N952" s="0" t="inlineStr">
        <is>
          <t xml:space="preserve"/>
        </is>
      </c>
      <c r="O952" s="0" t="inlineStr">
        <is>
          <t xml:space="preserve"/>
        </is>
      </c>
      <c r="P952" s="0" t="inlineStr">
        <is>
          <t xml:space="preserve"/>
        </is>
      </c>
      <c r="Q952" s="0" t="inlineStr">
        <is>
          <t xml:space="preserve"/>
        </is>
      </c>
      <c r="R952" s="0">
        <f>IF(D952="","",IFERROR(LOOKUP(2,1/(($D$2:$D$1001=D952)*($M$2:$M$1001="win")),$L$2:$L$1001),""))</f>
      </c>
      <c r="S952" s="0" t="inlineStr">
        <is>
          <t xml:space="preserve"/>
        </is>
      </c>
      <c r="T952" s="0" t="inlineStr">
        <is>
          <t xml:space="preserve"/>
        </is>
      </c>
      <c r="U952" s="0" t="inlineStr">
        <is>
          <t xml:space="preserve"/>
        </is>
      </c>
      <c r="V952" s="0" t="inlineStr">
        <is>
          <t xml:space="preserve"/>
        </is>
      </c>
      <c r="W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 t="inlineStr">
        <is>
          <t xml:space="preserve"/>
        </is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>
        <f>IF(E953="","",IF(OR(ISNUMBER(SEARCH("狼",E953)),ISNUMBER(SEARCH("石像鬼",E953)),ISNUMBER(SEARCH("恶灵骑士",E953)),ISNUMBER(SEARCH("黑蝙蝠",E953)),ISNUMBER(SEARCH("血月使徒",E953))),"werewolves","villagers"))</f>
      </c>
      <c r="M953" s="0">
        <f>IF(F953="","",IF(ROUND(F953,2)=5,"win","loss"))</f>
      </c>
      <c r="N953" s="0" t="inlineStr">
        <is>
          <t xml:space="preserve"/>
        </is>
      </c>
      <c r="O953" s="0" t="inlineStr">
        <is>
          <t xml:space="preserve"/>
        </is>
      </c>
      <c r="P953" s="0" t="inlineStr">
        <is>
          <t xml:space="preserve"/>
        </is>
      </c>
      <c r="Q953" s="0" t="inlineStr">
        <is>
          <t xml:space="preserve"/>
        </is>
      </c>
      <c r="R953" s="0">
        <f>IF(D953="","",IFERROR(LOOKUP(2,1/(($D$2:$D$1001=D953)*($M$2:$M$1001="win")),$L$2:$L$1001),""))</f>
      </c>
      <c r="S953" s="0" t="inlineStr">
        <is>
          <t xml:space="preserve"/>
        </is>
      </c>
      <c r="T953" s="0" t="inlineStr">
        <is>
          <t xml:space="preserve"/>
        </is>
      </c>
      <c r="U953" s="0" t="inlineStr">
        <is>
          <t xml:space="preserve"/>
        </is>
      </c>
      <c r="V953" s="0" t="inlineStr">
        <is>
          <t xml:space="preserve"/>
        </is>
      </c>
      <c r="W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 t="inlineStr">
        <is>
          <t xml:space="preserve"/>
        </is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>
        <f>IF(E954="","",IF(OR(ISNUMBER(SEARCH("狼",E954)),ISNUMBER(SEARCH("石像鬼",E954)),ISNUMBER(SEARCH("恶灵骑士",E954)),ISNUMBER(SEARCH("黑蝙蝠",E954)),ISNUMBER(SEARCH("血月使徒",E954))),"werewolves","villagers"))</f>
      </c>
      <c r="M954" s="0">
        <f>IF(F954="","",IF(ROUND(F954,2)=5,"win","loss"))</f>
      </c>
      <c r="N954" s="0" t="inlineStr">
        <is>
          <t xml:space="preserve"/>
        </is>
      </c>
      <c r="O954" s="0" t="inlineStr">
        <is>
          <t xml:space="preserve"/>
        </is>
      </c>
      <c r="P954" s="0" t="inlineStr">
        <is>
          <t xml:space="preserve"/>
        </is>
      </c>
      <c r="Q954" s="0" t="inlineStr">
        <is>
          <t xml:space="preserve"/>
        </is>
      </c>
      <c r="R954" s="0">
        <f>IF(D954="","",IFERROR(LOOKUP(2,1/(($D$2:$D$1001=D954)*($M$2:$M$1001="win")),$L$2:$L$1001),""))</f>
      </c>
      <c r="S954" s="0" t="inlineStr">
        <is>
          <t xml:space="preserve"/>
        </is>
      </c>
      <c r="T954" s="0" t="inlineStr">
        <is>
          <t xml:space="preserve"/>
        </is>
      </c>
      <c r="U954" s="0" t="inlineStr">
        <is>
          <t xml:space="preserve"/>
        </is>
      </c>
      <c r="V954" s="0" t="inlineStr">
        <is>
          <t xml:space="preserve"/>
        </is>
      </c>
      <c r="W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>
        <f>IF(E955="","",IF(OR(ISNUMBER(SEARCH("狼",E955)),ISNUMBER(SEARCH("石像鬼",E955)),ISNUMBER(SEARCH("恶灵骑士",E955)),ISNUMBER(SEARCH("黑蝙蝠",E955)),ISNUMBER(SEARCH("血月使徒",E955))),"werewolves","villagers"))</f>
      </c>
      <c r="M955" s="0">
        <f>IF(F955="","",IF(ROUND(F955,2)=5,"win","loss"))</f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>
        <f>IF(D955="","",IFERROR(LOOKUP(2,1/(($D$2:$D$1001=D955)*($M$2:$M$1001="win")),$L$2:$L$1001),""))</f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>
        <f>IF(E956="","",IF(OR(ISNUMBER(SEARCH("狼",E956)),ISNUMBER(SEARCH("石像鬼",E956)),ISNUMBER(SEARCH("恶灵骑士",E956)),ISNUMBER(SEARCH("黑蝙蝠",E956)),ISNUMBER(SEARCH("血月使徒",E956))),"werewolves","villagers"))</f>
      </c>
      <c r="M956" s="0">
        <f>IF(F956="","",IF(ROUND(F956,2)=5,"win","loss"))</f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>
        <f>IF(D956="","",IFERROR(LOOKUP(2,1/(($D$2:$D$1001=D956)*($M$2:$M$1001="win")),$L$2:$L$1001),""))</f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 t="inlineStr">
        <is>
          <t xml:space="preserve"/>
        </is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>
        <f>IF(E957="","",IF(OR(ISNUMBER(SEARCH("狼",E957)),ISNUMBER(SEARCH("石像鬼",E957)),ISNUMBER(SEARCH("恶灵骑士",E957)),ISNUMBER(SEARCH("黑蝙蝠",E957)),ISNUMBER(SEARCH("血月使徒",E957))),"werewolves","villagers"))</f>
      </c>
      <c r="M957" s="0">
        <f>IF(F957="","",IF(ROUND(F957,2)=5,"win","loss"))</f>
      </c>
      <c r="N957" s="0" t="inlineStr">
        <is>
          <t xml:space="preserve"/>
        </is>
      </c>
      <c r="O957" s="0" t="inlineStr">
        <is>
          <t xml:space="preserve"/>
        </is>
      </c>
      <c r="P957" s="0" t="inlineStr">
        <is>
          <t xml:space="preserve"/>
        </is>
      </c>
      <c r="Q957" s="0" t="inlineStr">
        <is>
          <t xml:space="preserve"/>
        </is>
      </c>
      <c r="R957" s="0">
        <f>IF(D957="","",IFERROR(LOOKUP(2,1/(($D$2:$D$1001=D957)*($M$2:$M$1001="win")),$L$2:$L$1001),""))</f>
      </c>
      <c r="S957" s="0" t="inlineStr">
        <is>
          <t xml:space="preserve"/>
        </is>
      </c>
      <c r="T957" s="0" t="inlineStr">
        <is>
          <t xml:space="preserve"/>
        </is>
      </c>
      <c r="U957" s="0" t="inlineStr">
        <is>
          <t xml:space="preserve"/>
        </is>
      </c>
      <c r="V957" s="0" t="inlineStr">
        <is>
          <t xml:space="preserve"/>
        </is>
      </c>
      <c r="W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 t="inlineStr">
        <is>
          <t xml:space="preserve"/>
        </is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>
        <f>IF(E958="","",IF(OR(ISNUMBER(SEARCH("狼",E958)),ISNUMBER(SEARCH("石像鬼",E958)),ISNUMBER(SEARCH("恶灵骑士",E958)),ISNUMBER(SEARCH("黑蝙蝠",E958)),ISNUMBER(SEARCH("血月使徒",E958))),"werewolves","villagers"))</f>
      </c>
      <c r="M958" s="0">
        <f>IF(F958="","",IF(ROUND(F958,2)=5,"win","loss"))</f>
      </c>
      <c r="N958" s="0" t="inlineStr">
        <is>
          <t xml:space="preserve"/>
        </is>
      </c>
      <c r="O958" s="0" t="inlineStr">
        <is>
          <t xml:space="preserve"/>
        </is>
      </c>
      <c r="P958" s="0" t="inlineStr">
        <is>
          <t xml:space="preserve"/>
        </is>
      </c>
      <c r="Q958" s="0" t="inlineStr">
        <is>
          <t xml:space="preserve"/>
        </is>
      </c>
      <c r="R958" s="0">
        <f>IF(D958="","",IFERROR(LOOKUP(2,1/(($D$2:$D$1001=D958)*($M$2:$M$1001="win")),$L$2:$L$1001),""))</f>
      </c>
      <c r="S958" s="0" t="inlineStr">
        <is>
          <t xml:space="preserve"/>
        </is>
      </c>
      <c r="T958" s="0" t="inlineStr">
        <is>
          <t xml:space="preserve"/>
        </is>
      </c>
      <c r="U958" s="0" t="inlineStr">
        <is>
          <t xml:space="preserve"/>
        </is>
      </c>
      <c r="V958" s="0" t="inlineStr">
        <is>
          <t xml:space="preserve"/>
        </is>
      </c>
      <c r="W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 t="inlineStr">
        <is>
          <t xml:space="preserve"/>
        </is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>
        <f>IF(E959="","",IF(OR(ISNUMBER(SEARCH("狼",E959)),ISNUMBER(SEARCH("石像鬼",E959)),ISNUMBER(SEARCH("恶灵骑士",E959)),ISNUMBER(SEARCH("黑蝙蝠",E959)),ISNUMBER(SEARCH("血月使徒",E959))),"werewolves","villagers"))</f>
      </c>
      <c r="M959" s="0">
        <f>IF(F959="","",IF(ROUND(F959,2)=5,"win","loss"))</f>
      </c>
      <c r="N959" s="0" t="inlineStr">
        <is>
          <t xml:space="preserve"/>
        </is>
      </c>
      <c r="O959" s="0" t="inlineStr">
        <is>
          <t xml:space="preserve"/>
        </is>
      </c>
      <c r="P959" s="0" t="inlineStr">
        <is>
          <t xml:space="preserve"/>
        </is>
      </c>
      <c r="Q959" s="0" t="inlineStr">
        <is>
          <t xml:space="preserve"/>
        </is>
      </c>
      <c r="R959" s="0">
        <f>IF(D959="","",IFERROR(LOOKUP(2,1/(($D$2:$D$1001=D959)*($M$2:$M$1001="win")),$L$2:$L$1001),""))</f>
      </c>
      <c r="S959" s="0" t="inlineStr">
        <is>
          <t xml:space="preserve"/>
        </is>
      </c>
      <c r="T959" s="0" t="inlineStr">
        <is>
          <t xml:space="preserve"/>
        </is>
      </c>
      <c r="U959" s="0" t="inlineStr">
        <is>
          <t xml:space="preserve"/>
        </is>
      </c>
      <c r="V959" s="0" t="inlineStr">
        <is>
          <t xml:space="preserve"/>
        </is>
      </c>
      <c r="W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 t="inlineStr">
        <is>
          <t xml:space="preserve"/>
        </is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>
        <f>IF(E960="","",IF(OR(ISNUMBER(SEARCH("狼",E960)),ISNUMBER(SEARCH("石像鬼",E960)),ISNUMBER(SEARCH("恶灵骑士",E960)),ISNUMBER(SEARCH("黑蝙蝠",E960)),ISNUMBER(SEARCH("血月使徒",E960))),"werewolves","villagers"))</f>
      </c>
      <c r="M960" s="0">
        <f>IF(F960="","",IF(ROUND(F960,2)=5,"win","loss"))</f>
      </c>
      <c r="N960" s="0" t="inlineStr">
        <is>
          <t xml:space="preserve"/>
        </is>
      </c>
      <c r="O960" s="0" t="inlineStr">
        <is>
          <t xml:space="preserve"/>
        </is>
      </c>
      <c r="P960" s="0" t="inlineStr">
        <is>
          <t xml:space="preserve"/>
        </is>
      </c>
      <c r="Q960" s="0" t="inlineStr">
        <is>
          <t xml:space="preserve"/>
        </is>
      </c>
      <c r="R960" s="0">
        <f>IF(D960="","",IFERROR(LOOKUP(2,1/(($D$2:$D$1001=D960)*($M$2:$M$1001="win")),$L$2:$L$1001),""))</f>
      </c>
      <c r="S960" s="0" t="inlineStr">
        <is>
          <t xml:space="preserve"/>
        </is>
      </c>
      <c r="T960" s="0" t="inlineStr">
        <is>
          <t xml:space="preserve"/>
        </is>
      </c>
      <c r="U960" s="0" t="inlineStr">
        <is>
          <t xml:space="preserve"/>
        </is>
      </c>
      <c r="V960" s="0" t="inlineStr">
        <is>
          <t xml:space="preserve"/>
        </is>
      </c>
      <c r="W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 t="inlineStr">
        <is>
          <t xml:space="preserve"/>
        </is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>
        <f>IF(E961="","",IF(OR(ISNUMBER(SEARCH("狼",E961)),ISNUMBER(SEARCH("石像鬼",E961)),ISNUMBER(SEARCH("恶灵骑士",E961)),ISNUMBER(SEARCH("黑蝙蝠",E961)),ISNUMBER(SEARCH("血月使徒",E961))),"werewolves","villagers"))</f>
      </c>
      <c r="M961" s="0">
        <f>IF(F961="","",IF(ROUND(F961,2)=5,"win","loss"))</f>
      </c>
      <c r="N961" s="0" t="inlineStr">
        <is>
          <t xml:space="preserve"/>
        </is>
      </c>
      <c r="O961" s="0" t="inlineStr">
        <is>
          <t xml:space="preserve"/>
        </is>
      </c>
      <c r="P961" s="0" t="inlineStr">
        <is>
          <t xml:space="preserve"/>
        </is>
      </c>
      <c r="Q961" s="0" t="inlineStr">
        <is>
          <t xml:space="preserve"/>
        </is>
      </c>
      <c r="R961" s="0">
        <f>IF(D961="","",IFERROR(LOOKUP(2,1/(($D$2:$D$1001=D961)*($M$2:$M$1001="win")),$L$2:$L$1001),""))</f>
      </c>
      <c r="S961" s="0" t="inlineStr">
        <is>
          <t xml:space="preserve"/>
        </is>
      </c>
      <c r="T961" s="0" t="inlineStr">
        <is>
          <t xml:space="preserve"/>
        </is>
      </c>
      <c r="U961" s="0" t="inlineStr">
        <is>
          <t xml:space="preserve"/>
        </is>
      </c>
      <c r="V961" s="0" t="inlineStr">
        <is>
          <t xml:space="preserve"/>
        </is>
      </c>
      <c r="W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>
        <f>IF(E962="","",IF(OR(ISNUMBER(SEARCH("狼",E962)),ISNUMBER(SEARCH("石像鬼",E962)),ISNUMBER(SEARCH("恶灵骑士",E962)),ISNUMBER(SEARCH("黑蝙蝠",E962)),ISNUMBER(SEARCH("血月使徒",E962))),"werewolves","villagers"))</f>
      </c>
      <c r="M962" s="0">
        <f>IF(F962="","",IF(ROUND(F962,2)=5,"win","loss"))</f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>
        <f>IF(D962="","",IFERROR(LOOKUP(2,1/(($D$2:$D$1001=D962)*($M$2:$M$1001="win")),$L$2:$L$1001),""))</f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>
        <f>IF(E963="","",IF(OR(ISNUMBER(SEARCH("狼",E963)),ISNUMBER(SEARCH("石像鬼",E963)),ISNUMBER(SEARCH("恶灵骑士",E963)),ISNUMBER(SEARCH("黑蝙蝠",E963)),ISNUMBER(SEARCH("血月使徒",E963))),"werewolves","villagers"))</f>
      </c>
      <c r="M963" s="0">
        <f>IF(F963="","",IF(ROUND(F963,2)=5,"win","loss"))</f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>
        <f>IF(D963="","",IFERROR(LOOKUP(2,1/(($D$2:$D$1001=D963)*($M$2:$M$1001="win")),$L$2:$L$1001),""))</f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 t="inlineStr">
        <is>
          <t xml:space="preserve"/>
        </is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>
        <f>IF(E964="","",IF(OR(ISNUMBER(SEARCH("狼",E964)),ISNUMBER(SEARCH("石像鬼",E964)),ISNUMBER(SEARCH("恶灵骑士",E964)),ISNUMBER(SEARCH("黑蝙蝠",E964)),ISNUMBER(SEARCH("血月使徒",E964))),"werewolves","villagers"))</f>
      </c>
      <c r="M964" s="0">
        <f>IF(F964="","",IF(ROUND(F964,2)=5,"win","loss"))</f>
      </c>
      <c r="N964" s="0" t="inlineStr">
        <is>
          <t xml:space="preserve"/>
        </is>
      </c>
      <c r="O964" s="0" t="inlineStr">
        <is>
          <t xml:space="preserve"/>
        </is>
      </c>
      <c r="P964" s="0" t="inlineStr">
        <is>
          <t xml:space="preserve"/>
        </is>
      </c>
      <c r="Q964" s="0" t="inlineStr">
        <is>
          <t xml:space="preserve"/>
        </is>
      </c>
      <c r="R964" s="0">
        <f>IF(D964="","",IFERROR(LOOKUP(2,1/(($D$2:$D$1001=D964)*($M$2:$M$1001="win")),$L$2:$L$1001),""))</f>
      </c>
      <c r="S964" s="0" t="inlineStr">
        <is>
          <t xml:space="preserve"/>
        </is>
      </c>
      <c r="T964" s="0" t="inlineStr">
        <is>
          <t xml:space="preserve"/>
        </is>
      </c>
      <c r="U964" s="0" t="inlineStr">
        <is>
          <t xml:space="preserve"/>
        </is>
      </c>
      <c r="V964" s="0" t="inlineStr">
        <is>
          <t xml:space="preserve"/>
        </is>
      </c>
      <c r="W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 t="inlineStr">
        <is>
          <t xml:space="preserve"/>
        </is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>
        <f>IF(E965="","",IF(OR(ISNUMBER(SEARCH("狼",E965)),ISNUMBER(SEARCH("石像鬼",E965)),ISNUMBER(SEARCH("恶灵骑士",E965)),ISNUMBER(SEARCH("黑蝙蝠",E965)),ISNUMBER(SEARCH("血月使徒",E965))),"werewolves","villagers"))</f>
      </c>
      <c r="M965" s="0">
        <f>IF(F965="","",IF(ROUND(F965,2)=5,"win","loss"))</f>
      </c>
      <c r="N965" s="0" t="inlineStr">
        <is>
          <t xml:space="preserve"/>
        </is>
      </c>
      <c r="O965" s="0" t="inlineStr">
        <is>
          <t xml:space="preserve"/>
        </is>
      </c>
      <c r="P965" s="0" t="inlineStr">
        <is>
          <t xml:space="preserve"/>
        </is>
      </c>
      <c r="Q965" s="0" t="inlineStr">
        <is>
          <t xml:space="preserve"/>
        </is>
      </c>
      <c r="R965" s="0">
        <f>IF(D965="","",IFERROR(LOOKUP(2,1/(($D$2:$D$1001=D965)*($M$2:$M$1001="win")),$L$2:$L$1001),""))</f>
      </c>
      <c r="S965" s="0" t="inlineStr">
        <is>
          <t xml:space="preserve"/>
        </is>
      </c>
      <c r="T965" s="0" t="inlineStr">
        <is>
          <t xml:space="preserve"/>
        </is>
      </c>
      <c r="U965" s="0" t="inlineStr">
        <is>
          <t xml:space="preserve"/>
        </is>
      </c>
      <c r="V965" s="0" t="inlineStr">
        <is>
          <t xml:space="preserve"/>
        </is>
      </c>
      <c r="W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 t="inlineStr">
        <is>
          <t xml:space="preserve"/>
        </is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>
        <f>IF(E966="","",IF(OR(ISNUMBER(SEARCH("狼",E966)),ISNUMBER(SEARCH("石像鬼",E966)),ISNUMBER(SEARCH("恶灵骑士",E966)),ISNUMBER(SEARCH("黑蝙蝠",E966)),ISNUMBER(SEARCH("血月使徒",E966))),"werewolves","villagers"))</f>
      </c>
      <c r="M966" s="0">
        <f>IF(F966="","",IF(ROUND(F966,2)=5,"win","loss"))</f>
      </c>
      <c r="N966" s="0" t="inlineStr">
        <is>
          <t xml:space="preserve"/>
        </is>
      </c>
      <c r="O966" s="0" t="inlineStr">
        <is>
          <t xml:space="preserve"/>
        </is>
      </c>
      <c r="P966" s="0" t="inlineStr">
        <is>
          <t xml:space="preserve"/>
        </is>
      </c>
      <c r="Q966" s="0" t="inlineStr">
        <is>
          <t xml:space="preserve"/>
        </is>
      </c>
      <c r="R966" s="0">
        <f>IF(D966="","",IFERROR(LOOKUP(2,1/(($D$2:$D$1001=D966)*($M$2:$M$1001="win")),$L$2:$L$1001),""))</f>
      </c>
      <c r="S966" s="0" t="inlineStr">
        <is>
          <t xml:space="preserve"/>
        </is>
      </c>
      <c r="T966" s="0" t="inlineStr">
        <is>
          <t xml:space="preserve"/>
        </is>
      </c>
      <c r="U966" s="0" t="inlineStr">
        <is>
          <t xml:space="preserve"/>
        </is>
      </c>
      <c r="V966" s="0" t="inlineStr">
        <is>
          <t xml:space="preserve"/>
        </is>
      </c>
      <c r="W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 t="inlineStr">
        <is>
          <t xml:space="preserve"/>
        </is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>
        <f>IF(E967="","",IF(OR(ISNUMBER(SEARCH("狼",E967)),ISNUMBER(SEARCH("石像鬼",E967)),ISNUMBER(SEARCH("恶灵骑士",E967)),ISNUMBER(SEARCH("黑蝙蝠",E967)),ISNUMBER(SEARCH("血月使徒",E967))),"werewolves","villagers"))</f>
      </c>
      <c r="M967" s="0">
        <f>IF(F967="","",IF(ROUND(F967,2)=5,"win","loss"))</f>
      </c>
      <c r="N967" s="0" t="inlineStr">
        <is>
          <t xml:space="preserve"/>
        </is>
      </c>
      <c r="O967" s="0" t="inlineStr">
        <is>
          <t xml:space="preserve"/>
        </is>
      </c>
      <c r="P967" s="0" t="inlineStr">
        <is>
          <t xml:space="preserve"/>
        </is>
      </c>
      <c r="Q967" s="0" t="inlineStr">
        <is>
          <t xml:space="preserve"/>
        </is>
      </c>
      <c r="R967" s="0">
        <f>IF(D967="","",IFERROR(LOOKUP(2,1/(($D$2:$D$1001=D967)*($M$2:$M$1001="win")),$L$2:$L$1001),""))</f>
      </c>
      <c r="S967" s="0" t="inlineStr">
        <is>
          <t xml:space="preserve"/>
        </is>
      </c>
      <c r="T967" s="0" t="inlineStr">
        <is>
          <t xml:space="preserve"/>
        </is>
      </c>
      <c r="U967" s="0" t="inlineStr">
        <is>
          <t xml:space="preserve"/>
        </is>
      </c>
      <c r="V967" s="0" t="inlineStr">
        <is>
          <t xml:space="preserve"/>
        </is>
      </c>
      <c r="W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 t="inlineStr">
        <is>
          <t xml:space="preserve"/>
        </is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>
        <f>IF(E968="","",IF(OR(ISNUMBER(SEARCH("狼",E968)),ISNUMBER(SEARCH("石像鬼",E968)),ISNUMBER(SEARCH("恶灵骑士",E968)),ISNUMBER(SEARCH("黑蝙蝠",E968)),ISNUMBER(SEARCH("血月使徒",E968))),"werewolves","villagers"))</f>
      </c>
      <c r="M968" s="0">
        <f>IF(F968="","",IF(ROUND(F968,2)=5,"win","loss"))</f>
      </c>
      <c r="N968" s="0" t="inlineStr">
        <is>
          <t xml:space="preserve"/>
        </is>
      </c>
      <c r="O968" s="0" t="inlineStr">
        <is>
          <t xml:space="preserve"/>
        </is>
      </c>
      <c r="P968" s="0" t="inlineStr">
        <is>
          <t xml:space="preserve"/>
        </is>
      </c>
      <c r="Q968" s="0" t="inlineStr">
        <is>
          <t xml:space="preserve"/>
        </is>
      </c>
      <c r="R968" s="0">
        <f>IF(D968="","",IFERROR(LOOKUP(2,1/(($D$2:$D$1001=D968)*($M$2:$M$1001="win")),$L$2:$L$1001),""))</f>
      </c>
      <c r="S968" s="0" t="inlineStr">
        <is>
          <t xml:space="preserve"/>
        </is>
      </c>
      <c r="T968" s="0" t="inlineStr">
        <is>
          <t xml:space="preserve"/>
        </is>
      </c>
      <c r="U968" s="0" t="inlineStr">
        <is>
          <t xml:space="preserve"/>
        </is>
      </c>
      <c r="V968" s="0" t="inlineStr">
        <is>
          <t xml:space="preserve"/>
        </is>
      </c>
      <c r="W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 t="inlineStr">
        <is>
          <t xml:space="preserve"/>
        </is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>
        <f>IF(E969="","",IF(OR(ISNUMBER(SEARCH("狼",E969)),ISNUMBER(SEARCH("石像鬼",E969)),ISNUMBER(SEARCH("恶灵骑士",E969)),ISNUMBER(SEARCH("黑蝙蝠",E969)),ISNUMBER(SEARCH("血月使徒",E969))),"werewolves","villagers"))</f>
      </c>
      <c r="M969" s="0">
        <f>IF(F969="","",IF(ROUND(F969,2)=5,"win","loss"))</f>
      </c>
      <c r="N969" s="0" t="inlineStr">
        <is>
          <t xml:space="preserve"/>
        </is>
      </c>
      <c r="O969" s="0" t="inlineStr">
        <is>
          <t xml:space="preserve"/>
        </is>
      </c>
      <c r="P969" s="0" t="inlineStr">
        <is>
          <t xml:space="preserve"/>
        </is>
      </c>
      <c r="Q969" s="0" t="inlineStr">
        <is>
          <t xml:space="preserve"/>
        </is>
      </c>
      <c r="R969" s="0">
        <f>IF(D969="","",IFERROR(LOOKUP(2,1/(($D$2:$D$1001=D969)*($M$2:$M$1001="win")),$L$2:$L$1001),""))</f>
      </c>
      <c r="S969" s="0" t="inlineStr">
        <is>
          <t xml:space="preserve"/>
        </is>
      </c>
      <c r="T969" s="0" t="inlineStr">
        <is>
          <t xml:space="preserve"/>
        </is>
      </c>
      <c r="U969" s="0" t="inlineStr">
        <is>
          <t xml:space="preserve"/>
        </is>
      </c>
      <c r="V969" s="0" t="inlineStr">
        <is>
          <t xml:space="preserve"/>
        </is>
      </c>
      <c r="W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>
        <f>IF(E970="","",IF(OR(ISNUMBER(SEARCH("狼",E970)),ISNUMBER(SEARCH("石像鬼",E970)),ISNUMBER(SEARCH("恶灵骑士",E970)),ISNUMBER(SEARCH("黑蝙蝠",E970)),ISNUMBER(SEARCH("血月使徒",E970))),"werewolves","villagers"))</f>
      </c>
      <c r="M970" s="0">
        <f>IF(F970="","",IF(ROUND(F970,2)=5,"win","loss"))</f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>
        <f>IF(D970="","",IFERROR(LOOKUP(2,1/(($D$2:$D$1001=D970)*($M$2:$M$1001="win")),$L$2:$L$1001),""))</f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 t="inlineStr">
        <is>
          <t xml:space="preserve"/>
        </is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>
        <f>IF(E971="","",IF(OR(ISNUMBER(SEARCH("狼",E971)),ISNUMBER(SEARCH("石像鬼",E971)),ISNUMBER(SEARCH("恶灵骑士",E971)),ISNUMBER(SEARCH("黑蝙蝠",E971)),ISNUMBER(SEARCH("血月使徒",E971))),"werewolves","villagers"))</f>
      </c>
      <c r="M971" s="0">
        <f>IF(F971="","",IF(ROUND(F971,2)=5,"win","loss"))</f>
      </c>
      <c r="N971" s="0" t="inlineStr">
        <is>
          <t xml:space="preserve"/>
        </is>
      </c>
      <c r="O971" s="0" t="inlineStr">
        <is>
          <t xml:space="preserve"/>
        </is>
      </c>
      <c r="P971" s="0" t="inlineStr">
        <is>
          <t xml:space="preserve"/>
        </is>
      </c>
      <c r="Q971" s="0" t="inlineStr">
        <is>
          <t xml:space="preserve"/>
        </is>
      </c>
      <c r="R971" s="0">
        <f>IF(D971="","",IFERROR(LOOKUP(2,1/(($D$2:$D$1001=D971)*($M$2:$M$1001="win")),$L$2:$L$1001),""))</f>
      </c>
      <c r="S971" s="0" t="inlineStr">
        <is>
          <t xml:space="preserve"/>
        </is>
      </c>
      <c r="T971" s="0" t="inlineStr">
        <is>
          <t xml:space="preserve"/>
        </is>
      </c>
      <c r="U971" s="0" t="inlineStr">
        <is>
          <t xml:space="preserve"/>
        </is>
      </c>
      <c r="V971" s="0" t="inlineStr">
        <is>
          <t xml:space="preserve"/>
        </is>
      </c>
      <c r="W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 t="inlineStr">
        <is>
          <t xml:space="preserve"/>
        </is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>
        <f>IF(E972="","",IF(OR(ISNUMBER(SEARCH("狼",E972)),ISNUMBER(SEARCH("石像鬼",E972)),ISNUMBER(SEARCH("恶灵骑士",E972)),ISNUMBER(SEARCH("黑蝙蝠",E972)),ISNUMBER(SEARCH("血月使徒",E972))),"werewolves","villagers"))</f>
      </c>
      <c r="M972" s="0">
        <f>IF(F972="","",IF(ROUND(F972,2)=5,"win","loss"))</f>
      </c>
      <c r="N972" s="0" t="inlineStr">
        <is>
          <t xml:space="preserve"/>
        </is>
      </c>
      <c r="O972" s="0" t="inlineStr">
        <is>
          <t xml:space="preserve"/>
        </is>
      </c>
      <c r="P972" s="0" t="inlineStr">
        <is>
          <t xml:space="preserve"/>
        </is>
      </c>
      <c r="Q972" s="0" t="inlineStr">
        <is>
          <t xml:space="preserve"/>
        </is>
      </c>
      <c r="R972" s="0">
        <f>IF(D972="","",IFERROR(LOOKUP(2,1/(($D$2:$D$1001=D972)*($M$2:$M$1001="win")),$L$2:$L$1001),""))</f>
      </c>
      <c r="S972" s="0" t="inlineStr">
        <is>
          <t xml:space="preserve"/>
        </is>
      </c>
      <c r="T972" s="0" t="inlineStr">
        <is>
          <t xml:space="preserve"/>
        </is>
      </c>
      <c r="U972" s="0" t="inlineStr">
        <is>
          <t xml:space="preserve"/>
        </is>
      </c>
      <c r="V972" s="0" t="inlineStr">
        <is>
          <t xml:space="preserve"/>
        </is>
      </c>
      <c r="W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>
        <f>IF(E973="","",IF(OR(ISNUMBER(SEARCH("狼",E973)),ISNUMBER(SEARCH("石像鬼",E973)),ISNUMBER(SEARCH("恶灵骑士",E973)),ISNUMBER(SEARCH("黑蝙蝠",E973)),ISNUMBER(SEARCH("血月使徒",E973))),"werewolves","villagers"))</f>
      </c>
      <c r="M973" s="0">
        <f>IF(F973="","",IF(ROUND(F973,2)=5,"win","loss"))</f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>
        <f>IF(D973="","",IFERROR(LOOKUP(2,1/(($D$2:$D$1001=D973)*($M$2:$M$1001="win")),$L$2:$L$1001),""))</f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 t="inlineStr">
        <is>
          <t xml:space="preserve"/>
        </is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>
        <f>IF(E974="","",IF(OR(ISNUMBER(SEARCH("狼",E974)),ISNUMBER(SEARCH("石像鬼",E974)),ISNUMBER(SEARCH("恶灵骑士",E974)),ISNUMBER(SEARCH("黑蝙蝠",E974)),ISNUMBER(SEARCH("血月使徒",E974))),"werewolves","villagers"))</f>
      </c>
      <c r="M974" s="0">
        <f>IF(F974="","",IF(ROUND(F974,2)=5,"win","loss"))</f>
      </c>
      <c r="N974" s="0" t="inlineStr">
        <is>
          <t xml:space="preserve"/>
        </is>
      </c>
      <c r="O974" s="0" t="inlineStr">
        <is>
          <t xml:space="preserve"/>
        </is>
      </c>
      <c r="P974" s="0" t="inlineStr">
        <is>
          <t xml:space="preserve"/>
        </is>
      </c>
      <c r="Q974" s="0" t="inlineStr">
        <is>
          <t xml:space="preserve"/>
        </is>
      </c>
      <c r="R974" s="0">
        <f>IF(D974="","",IFERROR(LOOKUP(2,1/(($D$2:$D$1001=D974)*($M$2:$M$1001="win")),$L$2:$L$1001),""))</f>
      </c>
      <c r="S974" s="0" t="inlineStr">
        <is>
          <t xml:space="preserve"/>
        </is>
      </c>
      <c r="T974" s="0" t="inlineStr">
        <is>
          <t xml:space="preserve"/>
        </is>
      </c>
      <c r="U974" s="0" t="inlineStr">
        <is>
          <t xml:space="preserve"/>
        </is>
      </c>
      <c r="V974" s="0" t="inlineStr">
        <is>
          <t xml:space="preserve"/>
        </is>
      </c>
      <c r="W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>
        <f>IF(E975="","",IF(OR(ISNUMBER(SEARCH("狼",E975)),ISNUMBER(SEARCH("石像鬼",E975)),ISNUMBER(SEARCH("恶灵骑士",E975)),ISNUMBER(SEARCH("黑蝙蝠",E975)),ISNUMBER(SEARCH("血月使徒",E975))),"werewolves","villagers"))</f>
      </c>
      <c r="M975" s="0">
        <f>IF(F975="","",IF(ROUND(F975,2)=5,"win","loss"))</f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>
        <f>IF(D975="","",IFERROR(LOOKUP(2,1/(($D$2:$D$1001=D975)*($M$2:$M$1001="win")),$L$2:$L$1001),""))</f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 t="inlineStr">
        <is>
          <t xml:space="preserve"/>
        </is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>
        <f>IF(E976="","",IF(OR(ISNUMBER(SEARCH("狼",E976)),ISNUMBER(SEARCH("石像鬼",E976)),ISNUMBER(SEARCH("恶灵骑士",E976)),ISNUMBER(SEARCH("黑蝙蝠",E976)),ISNUMBER(SEARCH("血月使徒",E976))),"werewolves","villagers"))</f>
      </c>
      <c r="M976" s="0">
        <f>IF(F976="","",IF(ROUND(F976,2)=5,"win","loss"))</f>
      </c>
      <c r="N976" s="0" t="inlineStr">
        <is>
          <t xml:space="preserve"/>
        </is>
      </c>
      <c r="O976" s="0" t="inlineStr">
        <is>
          <t xml:space="preserve"/>
        </is>
      </c>
      <c r="P976" s="0" t="inlineStr">
        <is>
          <t xml:space="preserve"/>
        </is>
      </c>
      <c r="Q976" s="0" t="inlineStr">
        <is>
          <t xml:space="preserve"/>
        </is>
      </c>
      <c r="R976" s="0">
        <f>IF(D976="","",IFERROR(LOOKUP(2,1/(($D$2:$D$1001=D976)*($M$2:$M$1001="win")),$L$2:$L$1001),""))</f>
      </c>
      <c r="S976" s="0" t="inlineStr">
        <is>
          <t xml:space="preserve"/>
        </is>
      </c>
      <c r="T976" s="0" t="inlineStr">
        <is>
          <t xml:space="preserve"/>
        </is>
      </c>
      <c r="U976" s="0" t="inlineStr">
        <is>
          <t xml:space="preserve"/>
        </is>
      </c>
      <c r="V976" s="0" t="inlineStr">
        <is>
          <t xml:space="preserve"/>
        </is>
      </c>
      <c r="W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>
        <f>IF(E977="","",IF(OR(ISNUMBER(SEARCH("狼",E977)),ISNUMBER(SEARCH("石像鬼",E977)),ISNUMBER(SEARCH("恶灵骑士",E977)),ISNUMBER(SEARCH("黑蝙蝠",E977)),ISNUMBER(SEARCH("血月使徒",E977))),"werewolves","villagers"))</f>
      </c>
      <c r="M977" s="0">
        <f>IF(F977="","",IF(ROUND(F977,2)=5,"win","loss"))</f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>
        <f>IF(D977="","",IFERROR(LOOKUP(2,1/(($D$2:$D$1001=D977)*($M$2:$M$1001="win")),$L$2:$L$1001),""))</f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>
        <f>IF(E978="","",IF(OR(ISNUMBER(SEARCH("狼",E978)),ISNUMBER(SEARCH("石像鬼",E978)),ISNUMBER(SEARCH("恶灵骑士",E978)),ISNUMBER(SEARCH("黑蝙蝠",E978)),ISNUMBER(SEARCH("血月使徒",E978))),"werewolves","villagers"))</f>
      </c>
      <c r="M978" s="0">
        <f>IF(F978="","",IF(ROUND(F978,2)=5,"win","loss"))</f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>
        <f>IF(D978="","",IFERROR(LOOKUP(2,1/(($D$2:$D$1001=D978)*($M$2:$M$1001="win")),$L$2:$L$1001),""))</f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 t="inlineStr">
        <is>
          <t xml:space="preserve"/>
        </is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>
        <f>IF(E979="","",IF(OR(ISNUMBER(SEARCH("狼",E979)),ISNUMBER(SEARCH("石像鬼",E979)),ISNUMBER(SEARCH("恶灵骑士",E979)),ISNUMBER(SEARCH("黑蝙蝠",E979)),ISNUMBER(SEARCH("血月使徒",E979))),"werewolves","villagers"))</f>
      </c>
      <c r="M979" s="0">
        <f>IF(F979="","",IF(ROUND(F979,2)=5,"win","loss"))</f>
      </c>
      <c r="N979" s="0" t="inlineStr">
        <is>
          <t xml:space="preserve"/>
        </is>
      </c>
      <c r="O979" s="0" t="inlineStr">
        <is>
          <t xml:space="preserve"/>
        </is>
      </c>
      <c r="P979" s="0" t="inlineStr">
        <is>
          <t xml:space="preserve"/>
        </is>
      </c>
      <c r="Q979" s="0" t="inlineStr">
        <is>
          <t xml:space="preserve"/>
        </is>
      </c>
      <c r="R979" s="0">
        <f>IF(D979="","",IFERROR(LOOKUP(2,1/(($D$2:$D$1001=D979)*($M$2:$M$1001="win")),$L$2:$L$1001),""))</f>
      </c>
      <c r="S979" s="0" t="inlineStr">
        <is>
          <t xml:space="preserve"/>
        </is>
      </c>
      <c r="T979" s="0" t="inlineStr">
        <is>
          <t xml:space="preserve"/>
        </is>
      </c>
      <c r="U979" s="0" t="inlineStr">
        <is>
          <t xml:space="preserve"/>
        </is>
      </c>
      <c r="V979" s="0" t="inlineStr">
        <is>
          <t xml:space="preserve"/>
        </is>
      </c>
      <c r="W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 t="inlineStr">
        <is>
          <t xml:space="preserve"/>
        </is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>
        <f>IF(E980="","",IF(OR(ISNUMBER(SEARCH("狼",E980)),ISNUMBER(SEARCH("石像鬼",E980)),ISNUMBER(SEARCH("恶灵骑士",E980)),ISNUMBER(SEARCH("黑蝙蝠",E980)),ISNUMBER(SEARCH("血月使徒",E980))),"werewolves","villagers"))</f>
      </c>
      <c r="M980" s="0">
        <f>IF(F980="","",IF(ROUND(F980,2)=5,"win","loss"))</f>
      </c>
      <c r="N980" s="0" t="inlineStr">
        <is>
          <t xml:space="preserve"/>
        </is>
      </c>
      <c r="O980" s="0" t="inlineStr">
        <is>
          <t xml:space="preserve"/>
        </is>
      </c>
      <c r="P980" s="0" t="inlineStr">
        <is>
          <t xml:space="preserve"/>
        </is>
      </c>
      <c r="Q980" s="0" t="inlineStr">
        <is>
          <t xml:space="preserve"/>
        </is>
      </c>
      <c r="R980" s="0">
        <f>IF(D980="","",IFERROR(LOOKUP(2,1/(($D$2:$D$1001=D980)*($M$2:$M$1001="win")),$L$2:$L$1001),""))</f>
      </c>
      <c r="S980" s="0" t="inlineStr">
        <is>
          <t xml:space="preserve"/>
        </is>
      </c>
      <c r="T980" s="0" t="inlineStr">
        <is>
          <t xml:space="preserve"/>
        </is>
      </c>
      <c r="U980" s="0" t="inlineStr">
        <is>
          <t xml:space="preserve"/>
        </is>
      </c>
      <c r="V980" s="0" t="inlineStr">
        <is>
          <t xml:space="preserve"/>
        </is>
      </c>
      <c r="W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>
        <f>IF(E981="","",IF(OR(ISNUMBER(SEARCH("狼",E981)),ISNUMBER(SEARCH("石像鬼",E981)),ISNUMBER(SEARCH("恶灵骑士",E981)),ISNUMBER(SEARCH("黑蝙蝠",E981)),ISNUMBER(SEARCH("血月使徒",E981))),"werewolves","villagers"))</f>
      </c>
      <c r="M981" s="0">
        <f>IF(F981="","",IF(ROUND(F981,2)=5,"win","loss"))</f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>
        <f>IF(D981="","",IFERROR(LOOKUP(2,1/(($D$2:$D$1001=D981)*($M$2:$M$1001="win")),$L$2:$L$1001),""))</f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 t="inlineStr">
        <is>
          <t xml:space="preserve"/>
        </is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>
        <f>IF(E982="","",IF(OR(ISNUMBER(SEARCH("狼",E982)),ISNUMBER(SEARCH("石像鬼",E982)),ISNUMBER(SEARCH("恶灵骑士",E982)),ISNUMBER(SEARCH("黑蝙蝠",E982)),ISNUMBER(SEARCH("血月使徒",E982))),"werewolves","villagers"))</f>
      </c>
      <c r="M982" s="0">
        <f>IF(F982="","",IF(ROUND(F982,2)=5,"win","loss"))</f>
      </c>
      <c r="N982" s="0" t="inlineStr">
        <is>
          <t xml:space="preserve"/>
        </is>
      </c>
      <c r="O982" s="0" t="inlineStr">
        <is>
          <t xml:space="preserve"/>
        </is>
      </c>
      <c r="P982" s="0" t="inlineStr">
        <is>
          <t xml:space="preserve"/>
        </is>
      </c>
      <c r="Q982" s="0" t="inlineStr">
        <is>
          <t xml:space="preserve"/>
        </is>
      </c>
      <c r="R982" s="0">
        <f>IF(D982="","",IFERROR(LOOKUP(2,1/(($D$2:$D$1001=D982)*($M$2:$M$1001="win")),$L$2:$L$1001),""))</f>
      </c>
      <c r="S982" s="0" t="inlineStr">
        <is>
          <t xml:space="preserve"/>
        </is>
      </c>
      <c r="T982" s="0" t="inlineStr">
        <is>
          <t xml:space="preserve"/>
        </is>
      </c>
      <c r="U982" s="0" t="inlineStr">
        <is>
          <t xml:space="preserve"/>
        </is>
      </c>
      <c r="V982" s="0" t="inlineStr">
        <is>
          <t xml:space="preserve"/>
        </is>
      </c>
      <c r="W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 t="inlineStr">
        <is>
          <t xml:space="preserve"/>
        </is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>
        <f>IF(E983="","",IF(OR(ISNUMBER(SEARCH("狼",E983)),ISNUMBER(SEARCH("石像鬼",E983)),ISNUMBER(SEARCH("恶灵骑士",E983)),ISNUMBER(SEARCH("黑蝙蝠",E983)),ISNUMBER(SEARCH("血月使徒",E983))),"werewolves","villagers"))</f>
      </c>
      <c r="M983" s="0">
        <f>IF(F983="","",IF(ROUND(F983,2)=5,"win","loss"))</f>
      </c>
      <c r="N983" s="0" t="inlineStr">
        <is>
          <t xml:space="preserve"/>
        </is>
      </c>
      <c r="O983" s="0" t="inlineStr">
        <is>
          <t xml:space="preserve"/>
        </is>
      </c>
      <c r="P983" s="0" t="inlineStr">
        <is>
          <t xml:space="preserve"/>
        </is>
      </c>
      <c r="Q983" s="0" t="inlineStr">
        <is>
          <t xml:space="preserve"/>
        </is>
      </c>
      <c r="R983" s="0">
        <f>IF(D983="","",IFERROR(LOOKUP(2,1/(($D$2:$D$1001=D983)*($M$2:$M$1001="win")),$L$2:$L$1001),""))</f>
      </c>
      <c r="S983" s="0" t="inlineStr">
        <is>
          <t xml:space="preserve"/>
        </is>
      </c>
      <c r="T983" s="0" t="inlineStr">
        <is>
          <t xml:space="preserve"/>
        </is>
      </c>
      <c r="U983" s="0" t="inlineStr">
        <is>
          <t xml:space="preserve"/>
        </is>
      </c>
      <c r="V983" s="0" t="inlineStr">
        <is>
          <t xml:space="preserve"/>
        </is>
      </c>
      <c r="W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 t="inlineStr">
        <is>
          <t xml:space="preserve"/>
        </is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>
        <f>IF(E984="","",IF(OR(ISNUMBER(SEARCH("狼",E984)),ISNUMBER(SEARCH("石像鬼",E984)),ISNUMBER(SEARCH("恶灵骑士",E984)),ISNUMBER(SEARCH("黑蝙蝠",E984)),ISNUMBER(SEARCH("血月使徒",E984))),"werewolves","villagers"))</f>
      </c>
      <c r="M984" s="0">
        <f>IF(F984="","",IF(ROUND(F984,2)=5,"win","loss"))</f>
      </c>
      <c r="N984" s="0" t="inlineStr">
        <is>
          <t xml:space="preserve"/>
        </is>
      </c>
      <c r="O984" s="0" t="inlineStr">
        <is>
          <t xml:space="preserve"/>
        </is>
      </c>
      <c r="P984" s="0" t="inlineStr">
        <is>
          <t xml:space="preserve"/>
        </is>
      </c>
      <c r="Q984" s="0" t="inlineStr">
        <is>
          <t xml:space="preserve"/>
        </is>
      </c>
      <c r="R984" s="0">
        <f>IF(D984="","",IFERROR(LOOKUP(2,1/(($D$2:$D$1001=D984)*($M$2:$M$1001="win")),$L$2:$L$1001),""))</f>
      </c>
      <c r="S984" s="0" t="inlineStr">
        <is>
          <t xml:space="preserve"/>
        </is>
      </c>
      <c r="T984" s="0" t="inlineStr">
        <is>
          <t xml:space="preserve"/>
        </is>
      </c>
      <c r="U984" s="0" t="inlineStr">
        <is>
          <t xml:space="preserve"/>
        </is>
      </c>
      <c r="V984" s="0" t="inlineStr">
        <is>
          <t xml:space="preserve"/>
        </is>
      </c>
      <c r="W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>
        <f>IF(E985="","",IF(OR(ISNUMBER(SEARCH("狼",E985)),ISNUMBER(SEARCH("石像鬼",E985)),ISNUMBER(SEARCH("恶灵骑士",E985)),ISNUMBER(SEARCH("黑蝙蝠",E985)),ISNUMBER(SEARCH("血月使徒",E985))),"werewolves","villagers"))</f>
      </c>
      <c r="M985" s="0">
        <f>IF(F985="","",IF(ROUND(F985,2)=5,"win","loss"))</f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>
        <f>IF(D985="","",IFERROR(LOOKUP(2,1/(($D$2:$D$1001=D985)*($M$2:$M$1001="win")),$L$2:$L$1001),""))</f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 t="inlineStr">
        <is>
          <t xml:space="preserve"/>
        </is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>
        <f>IF(E986="","",IF(OR(ISNUMBER(SEARCH("狼",E986)),ISNUMBER(SEARCH("石像鬼",E986)),ISNUMBER(SEARCH("恶灵骑士",E986)),ISNUMBER(SEARCH("黑蝙蝠",E986)),ISNUMBER(SEARCH("血月使徒",E986))),"werewolves","villagers"))</f>
      </c>
      <c r="M986" s="0">
        <f>IF(F986="","",IF(ROUND(F986,2)=5,"win","loss"))</f>
      </c>
      <c r="N986" s="0" t="inlineStr">
        <is>
          <t xml:space="preserve"/>
        </is>
      </c>
      <c r="O986" s="0" t="inlineStr">
        <is>
          <t xml:space="preserve"/>
        </is>
      </c>
      <c r="P986" s="0" t="inlineStr">
        <is>
          <t xml:space="preserve"/>
        </is>
      </c>
      <c r="Q986" s="0" t="inlineStr">
        <is>
          <t xml:space="preserve"/>
        </is>
      </c>
      <c r="R986" s="0">
        <f>IF(D986="","",IFERROR(LOOKUP(2,1/(($D$2:$D$1001=D986)*($M$2:$M$1001="win")),$L$2:$L$1001),""))</f>
      </c>
      <c r="S986" s="0" t="inlineStr">
        <is>
          <t xml:space="preserve"/>
        </is>
      </c>
      <c r="T986" s="0" t="inlineStr">
        <is>
          <t xml:space="preserve"/>
        </is>
      </c>
      <c r="U986" s="0" t="inlineStr">
        <is>
          <t xml:space="preserve"/>
        </is>
      </c>
      <c r="V986" s="0" t="inlineStr">
        <is>
          <t xml:space="preserve"/>
        </is>
      </c>
      <c r="W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 t="inlineStr">
        <is>
          <t xml:space="preserve"/>
        </is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>
        <f>IF(E987="","",IF(OR(ISNUMBER(SEARCH("狼",E987)),ISNUMBER(SEARCH("石像鬼",E987)),ISNUMBER(SEARCH("恶灵骑士",E987)),ISNUMBER(SEARCH("黑蝙蝠",E987)),ISNUMBER(SEARCH("血月使徒",E987))),"werewolves","villagers"))</f>
      </c>
      <c r="M987" s="0">
        <f>IF(F987="","",IF(ROUND(F987,2)=5,"win","loss"))</f>
      </c>
      <c r="N987" s="0" t="inlineStr">
        <is>
          <t xml:space="preserve"/>
        </is>
      </c>
      <c r="O987" s="0" t="inlineStr">
        <is>
          <t xml:space="preserve"/>
        </is>
      </c>
      <c r="P987" s="0" t="inlineStr">
        <is>
          <t xml:space="preserve"/>
        </is>
      </c>
      <c r="Q987" s="0" t="inlineStr">
        <is>
          <t xml:space="preserve"/>
        </is>
      </c>
      <c r="R987" s="0">
        <f>IF(D987="","",IFERROR(LOOKUP(2,1/(($D$2:$D$1001=D987)*($M$2:$M$1001="win")),$L$2:$L$1001),""))</f>
      </c>
      <c r="S987" s="0" t="inlineStr">
        <is>
          <t xml:space="preserve"/>
        </is>
      </c>
      <c r="T987" s="0" t="inlineStr">
        <is>
          <t xml:space="preserve"/>
        </is>
      </c>
      <c r="U987" s="0" t="inlineStr">
        <is>
          <t xml:space="preserve"/>
        </is>
      </c>
      <c r="V987" s="0" t="inlineStr">
        <is>
          <t xml:space="preserve"/>
        </is>
      </c>
      <c r="W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>
        <f>IF(E988="","",IF(OR(ISNUMBER(SEARCH("狼",E988)),ISNUMBER(SEARCH("石像鬼",E988)),ISNUMBER(SEARCH("恶灵骑士",E988)),ISNUMBER(SEARCH("黑蝙蝠",E988)),ISNUMBER(SEARCH("血月使徒",E988))),"werewolves","villagers"))</f>
      </c>
      <c r="M988" s="0">
        <f>IF(F988="","",IF(ROUND(F988,2)=5,"win","loss"))</f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>
        <f>IF(D988="","",IFERROR(LOOKUP(2,1/(($D$2:$D$1001=D988)*($M$2:$M$1001="win")),$L$2:$L$1001),""))</f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 t="inlineStr">
        <is>
          <t xml:space="preserve"/>
        </is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>
        <f>IF(E989="","",IF(OR(ISNUMBER(SEARCH("狼",E989)),ISNUMBER(SEARCH("石像鬼",E989)),ISNUMBER(SEARCH("恶灵骑士",E989)),ISNUMBER(SEARCH("黑蝙蝠",E989)),ISNUMBER(SEARCH("血月使徒",E989))),"werewolves","villagers"))</f>
      </c>
      <c r="M989" s="0">
        <f>IF(F989="","",IF(ROUND(F989,2)=5,"win","loss"))</f>
      </c>
      <c r="N989" s="0" t="inlineStr">
        <is>
          <t xml:space="preserve"/>
        </is>
      </c>
      <c r="O989" s="0" t="inlineStr">
        <is>
          <t xml:space="preserve"/>
        </is>
      </c>
      <c r="P989" s="0" t="inlineStr">
        <is>
          <t xml:space="preserve"/>
        </is>
      </c>
      <c r="Q989" s="0" t="inlineStr">
        <is>
          <t xml:space="preserve"/>
        </is>
      </c>
      <c r="R989" s="0">
        <f>IF(D989="","",IFERROR(LOOKUP(2,1/(($D$2:$D$1001=D989)*($M$2:$M$1001="win")),$L$2:$L$1001),""))</f>
      </c>
      <c r="S989" s="0" t="inlineStr">
        <is>
          <t xml:space="preserve"/>
        </is>
      </c>
      <c r="T989" s="0" t="inlineStr">
        <is>
          <t xml:space="preserve"/>
        </is>
      </c>
      <c r="U989" s="0" t="inlineStr">
        <is>
          <t xml:space="preserve"/>
        </is>
      </c>
      <c r="V989" s="0" t="inlineStr">
        <is>
          <t xml:space="preserve"/>
        </is>
      </c>
      <c r="W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 t="inlineStr">
        <is>
          <t xml:space="preserve"/>
        </is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>
        <f>IF(E990="","",IF(OR(ISNUMBER(SEARCH("狼",E990)),ISNUMBER(SEARCH("石像鬼",E990)),ISNUMBER(SEARCH("恶灵骑士",E990)),ISNUMBER(SEARCH("黑蝙蝠",E990)),ISNUMBER(SEARCH("血月使徒",E990))),"werewolves","villagers"))</f>
      </c>
      <c r="M990" s="0">
        <f>IF(F990="","",IF(ROUND(F990,2)=5,"win","loss"))</f>
      </c>
      <c r="N990" s="0" t="inlineStr">
        <is>
          <t xml:space="preserve"/>
        </is>
      </c>
      <c r="O990" s="0" t="inlineStr">
        <is>
          <t xml:space="preserve"/>
        </is>
      </c>
      <c r="P990" s="0" t="inlineStr">
        <is>
          <t xml:space="preserve"/>
        </is>
      </c>
      <c r="Q990" s="0" t="inlineStr">
        <is>
          <t xml:space="preserve"/>
        </is>
      </c>
      <c r="R990" s="0">
        <f>IF(D990="","",IFERROR(LOOKUP(2,1/(($D$2:$D$1001=D990)*($M$2:$M$1001="win")),$L$2:$L$1001),""))</f>
      </c>
      <c r="S990" s="0" t="inlineStr">
        <is>
          <t xml:space="preserve"/>
        </is>
      </c>
      <c r="T990" s="0" t="inlineStr">
        <is>
          <t xml:space="preserve"/>
        </is>
      </c>
      <c r="U990" s="0" t="inlineStr">
        <is>
          <t xml:space="preserve"/>
        </is>
      </c>
      <c r="V990" s="0" t="inlineStr">
        <is>
          <t xml:space="preserve"/>
        </is>
      </c>
      <c r="W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>
        <f>IF(E991="","",IF(OR(ISNUMBER(SEARCH("狼",E991)),ISNUMBER(SEARCH("石像鬼",E991)),ISNUMBER(SEARCH("恶灵骑士",E991)),ISNUMBER(SEARCH("黑蝙蝠",E991)),ISNUMBER(SEARCH("血月使徒",E991))),"werewolves","villagers"))</f>
      </c>
      <c r="M991" s="0">
        <f>IF(F991="","",IF(ROUND(F991,2)=5,"win","loss"))</f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>
        <f>IF(D991="","",IFERROR(LOOKUP(2,1/(($D$2:$D$1001=D991)*($M$2:$M$1001="win")),$L$2:$L$1001),""))</f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 t="inlineStr">
        <is>
          <t xml:space="preserve"/>
        </is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>
        <f>IF(E992="","",IF(OR(ISNUMBER(SEARCH("狼",E992)),ISNUMBER(SEARCH("石像鬼",E992)),ISNUMBER(SEARCH("恶灵骑士",E992)),ISNUMBER(SEARCH("黑蝙蝠",E992)),ISNUMBER(SEARCH("血月使徒",E992))),"werewolves","villagers"))</f>
      </c>
      <c r="M992" s="0">
        <f>IF(F992="","",IF(ROUND(F992,2)=5,"win","loss"))</f>
      </c>
      <c r="N992" s="0" t="inlineStr">
        <is>
          <t xml:space="preserve"/>
        </is>
      </c>
      <c r="O992" s="0" t="inlineStr">
        <is>
          <t xml:space="preserve"/>
        </is>
      </c>
      <c r="P992" s="0" t="inlineStr">
        <is>
          <t xml:space="preserve"/>
        </is>
      </c>
      <c r="Q992" s="0" t="inlineStr">
        <is>
          <t xml:space="preserve"/>
        </is>
      </c>
      <c r="R992" s="0">
        <f>IF(D992="","",IFERROR(LOOKUP(2,1/(($D$2:$D$1001=D992)*($M$2:$M$1001="win")),$L$2:$L$1001),""))</f>
      </c>
      <c r="S992" s="0" t="inlineStr">
        <is>
          <t xml:space="preserve"/>
        </is>
      </c>
      <c r="T992" s="0" t="inlineStr">
        <is>
          <t xml:space="preserve"/>
        </is>
      </c>
      <c r="U992" s="0" t="inlineStr">
        <is>
          <t xml:space="preserve"/>
        </is>
      </c>
      <c r="V992" s="0" t="inlineStr">
        <is>
          <t xml:space="preserve"/>
        </is>
      </c>
      <c r="W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>
        <f>IF(E993="","",IF(OR(ISNUMBER(SEARCH("狼",E993)),ISNUMBER(SEARCH("石像鬼",E993)),ISNUMBER(SEARCH("恶灵骑士",E993)),ISNUMBER(SEARCH("黑蝙蝠",E993)),ISNUMBER(SEARCH("血月使徒",E993))),"werewolves","villagers"))</f>
      </c>
      <c r="M993" s="0">
        <f>IF(F993="","",IF(ROUND(F993,2)=5,"win","loss"))</f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>
        <f>IF(D993="","",IFERROR(LOOKUP(2,1/(($D$2:$D$1001=D993)*($M$2:$M$1001="win")),$L$2:$L$1001),""))</f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 t="inlineStr">
        <is>
          <t xml:space="preserve"/>
        </is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>
        <f>IF(E994="","",IF(OR(ISNUMBER(SEARCH("狼",E994)),ISNUMBER(SEARCH("石像鬼",E994)),ISNUMBER(SEARCH("恶灵骑士",E994)),ISNUMBER(SEARCH("黑蝙蝠",E994)),ISNUMBER(SEARCH("血月使徒",E994))),"werewolves","villagers"))</f>
      </c>
      <c r="M994" s="0">
        <f>IF(F994="","",IF(ROUND(F994,2)=5,"win","loss"))</f>
      </c>
      <c r="N994" s="0" t="inlineStr">
        <is>
          <t xml:space="preserve"/>
        </is>
      </c>
      <c r="O994" s="0" t="inlineStr">
        <is>
          <t xml:space="preserve"/>
        </is>
      </c>
      <c r="P994" s="0" t="inlineStr">
        <is>
          <t xml:space="preserve"/>
        </is>
      </c>
      <c r="Q994" s="0" t="inlineStr">
        <is>
          <t xml:space="preserve"/>
        </is>
      </c>
      <c r="R994" s="0">
        <f>IF(D994="","",IFERROR(LOOKUP(2,1/(($D$2:$D$1001=D994)*($M$2:$M$1001="win")),$L$2:$L$1001),""))</f>
      </c>
      <c r="S994" s="0" t="inlineStr">
        <is>
          <t xml:space="preserve"/>
        </is>
      </c>
      <c r="T994" s="0" t="inlineStr">
        <is>
          <t xml:space="preserve"/>
        </is>
      </c>
      <c r="U994" s="0" t="inlineStr">
        <is>
          <t xml:space="preserve"/>
        </is>
      </c>
      <c r="V994" s="0" t="inlineStr">
        <is>
          <t xml:space="preserve"/>
        </is>
      </c>
      <c r="W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 t="inlineStr">
        <is>
          <t xml:space="preserve"/>
        </is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>
        <f>IF(E995="","",IF(OR(ISNUMBER(SEARCH("狼",E995)),ISNUMBER(SEARCH("石像鬼",E995)),ISNUMBER(SEARCH("恶灵骑士",E995)),ISNUMBER(SEARCH("黑蝙蝠",E995)),ISNUMBER(SEARCH("血月使徒",E995))),"werewolves","villagers"))</f>
      </c>
      <c r="M995" s="0">
        <f>IF(F995="","",IF(ROUND(F995,2)=5,"win","loss"))</f>
      </c>
      <c r="N995" s="0" t="inlineStr">
        <is>
          <t xml:space="preserve"/>
        </is>
      </c>
      <c r="O995" s="0" t="inlineStr">
        <is>
          <t xml:space="preserve"/>
        </is>
      </c>
      <c r="P995" s="0" t="inlineStr">
        <is>
          <t xml:space="preserve"/>
        </is>
      </c>
      <c r="Q995" s="0" t="inlineStr">
        <is>
          <t xml:space="preserve"/>
        </is>
      </c>
      <c r="R995" s="0">
        <f>IF(D995="","",IFERROR(LOOKUP(2,1/(($D$2:$D$1001=D995)*($M$2:$M$1001="win")),$L$2:$L$1001),""))</f>
      </c>
      <c r="S995" s="0" t="inlineStr">
        <is>
          <t xml:space="preserve"/>
        </is>
      </c>
      <c r="T995" s="0" t="inlineStr">
        <is>
          <t xml:space="preserve"/>
        </is>
      </c>
      <c r="U995" s="0" t="inlineStr">
        <is>
          <t xml:space="preserve"/>
        </is>
      </c>
      <c r="V995" s="0" t="inlineStr">
        <is>
          <t xml:space="preserve"/>
        </is>
      </c>
      <c r="W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 t="inlineStr">
        <is>
          <t xml:space="preserve"/>
        </is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>
        <f>IF(E996="","",IF(OR(ISNUMBER(SEARCH("狼",E996)),ISNUMBER(SEARCH("石像鬼",E996)),ISNUMBER(SEARCH("恶灵骑士",E996)),ISNUMBER(SEARCH("黑蝙蝠",E996)),ISNUMBER(SEARCH("血月使徒",E996))),"werewolves","villagers"))</f>
      </c>
      <c r="M996" s="0">
        <f>IF(F996="","",IF(ROUND(F996,2)=5,"win","loss"))</f>
      </c>
      <c r="N996" s="0" t="inlineStr">
        <is>
          <t xml:space="preserve"/>
        </is>
      </c>
      <c r="O996" s="0" t="inlineStr">
        <is>
          <t xml:space="preserve"/>
        </is>
      </c>
      <c r="P996" s="0" t="inlineStr">
        <is>
          <t xml:space="preserve"/>
        </is>
      </c>
      <c r="Q996" s="0" t="inlineStr">
        <is>
          <t xml:space="preserve"/>
        </is>
      </c>
      <c r="R996" s="0">
        <f>IF(D996="","",IFERROR(LOOKUP(2,1/(($D$2:$D$1001=D996)*($M$2:$M$1001="win")),$L$2:$L$1001),""))</f>
      </c>
      <c r="S996" s="0" t="inlineStr">
        <is>
          <t xml:space="preserve"/>
        </is>
      </c>
      <c r="T996" s="0" t="inlineStr">
        <is>
          <t xml:space="preserve"/>
        </is>
      </c>
      <c r="U996" s="0" t="inlineStr">
        <is>
          <t xml:space="preserve"/>
        </is>
      </c>
      <c r="V996" s="0" t="inlineStr">
        <is>
          <t xml:space="preserve"/>
        </is>
      </c>
      <c r="W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 t="inlineStr">
        <is>
          <t xml:space="preserve"/>
        </is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>
        <f>IF(E997="","",IF(OR(ISNUMBER(SEARCH("狼",E997)),ISNUMBER(SEARCH("石像鬼",E997)),ISNUMBER(SEARCH("恶灵骑士",E997)),ISNUMBER(SEARCH("黑蝙蝠",E997)),ISNUMBER(SEARCH("血月使徒",E997))),"werewolves","villagers"))</f>
      </c>
      <c r="M997" s="0">
        <f>IF(F997="","",IF(ROUND(F997,2)=5,"win","loss"))</f>
      </c>
      <c r="N997" s="0" t="inlineStr">
        <is>
          <t xml:space="preserve"/>
        </is>
      </c>
      <c r="O997" s="0" t="inlineStr">
        <is>
          <t xml:space="preserve"/>
        </is>
      </c>
      <c r="P997" s="0" t="inlineStr">
        <is>
          <t xml:space="preserve"/>
        </is>
      </c>
      <c r="Q997" s="0" t="inlineStr">
        <is>
          <t xml:space="preserve"/>
        </is>
      </c>
      <c r="R997" s="0">
        <f>IF(D997="","",IFERROR(LOOKUP(2,1/(($D$2:$D$1001=D997)*($M$2:$M$1001="win")),$L$2:$L$1001),""))</f>
      </c>
      <c r="S997" s="0" t="inlineStr">
        <is>
          <t xml:space="preserve"/>
        </is>
      </c>
      <c r="T997" s="0" t="inlineStr">
        <is>
          <t xml:space="preserve"/>
        </is>
      </c>
      <c r="U997" s="0" t="inlineStr">
        <is>
          <t xml:space="preserve"/>
        </is>
      </c>
      <c r="V997" s="0" t="inlineStr">
        <is>
          <t xml:space="preserve"/>
        </is>
      </c>
      <c r="W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>
        <f>IF(E998="","",IF(OR(ISNUMBER(SEARCH("狼",E998)),ISNUMBER(SEARCH("石像鬼",E998)),ISNUMBER(SEARCH("恶灵骑士",E998)),ISNUMBER(SEARCH("黑蝙蝠",E998)),ISNUMBER(SEARCH("血月使徒",E998))),"werewolves","villagers"))</f>
      </c>
      <c r="M998" s="0">
        <f>IF(F998="","",IF(ROUND(F998,2)=5,"win","loss"))</f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>
        <f>IF(D998="","",IFERROR(LOOKUP(2,1/(($D$2:$D$1001=D998)*($M$2:$M$1001="win")),$L$2:$L$1001),""))</f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 t="inlineStr">
        <is>
          <t xml:space="preserve"/>
        </is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>
        <f>IF(E999="","",IF(OR(ISNUMBER(SEARCH("狼",E999)),ISNUMBER(SEARCH("石像鬼",E999)),ISNUMBER(SEARCH("恶灵骑士",E999)),ISNUMBER(SEARCH("黑蝙蝠",E999)),ISNUMBER(SEARCH("血月使徒",E999))),"werewolves","villagers"))</f>
      </c>
      <c r="M999" s="0">
        <f>IF(F999="","",IF(ROUND(F999,2)=5,"win","loss"))</f>
      </c>
      <c r="N999" s="0" t="inlineStr">
        <is>
          <t xml:space="preserve"/>
        </is>
      </c>
      <c r="O999" s="0" t="inlineStr">
        <is>
          <t xml:space="preserve"/>
        </is>
      </c>
      <c r="P999" s="0" t="inlineStr">
        <is>
          <t xml:space="preserve"/>
        </is>
      </c>
      <c r="Q999" s="0" t="inlineStr">
        <is>
          <t xml:space="preserve"/>
        </is>
      </c>
      <c r="R999" s="0">
        <f>IF(D999="","",IFERROR(LOOKUP(2,1/(($D$2:$D$1001=D999)*($M$2:$M$1001="win")),$L$2:$L$1001),""))</f>
      </c>
      <c r="S999" s="0" t="inlineStr">
        <is>
          <t xml:space="preserve"/>
        </is>
      </c>
      <c r="T999" s="0" t="inlineStr">
        <is>
          <t xml:space="preserve"/>
        </is>
      </c>
      <c r="U999" s="0" t="inlineStr">
        <is>
          <t xml:space="preserve"/>
        </is>
      </c>
      <c r="V999" s="0" t="inlineStr">
        <is>
          <t xml:space="preserve"/>
        </is>
      </c>
      <c r="W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 t="inlineStr">
        <is>
          <t xml:space="preserve"/>
        </is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>
        <f>IF(E1000="","",IF(OR(ISNUMBER(SEARCH("狼",E1000)),ISNUMBER(SEARCH("石像鬼",E1000)),ISNUMBER(SEARCH("恶灵骑士",E1000)),ISNUMBER(SEARCH("黑蝙蝠",E1000)),ISNUMBER(SEARCH("血月使徒",E1000))),"werewolves","villagers"))</f>
      </c>
      <c r="M1000" s="0">
        <f>IF(F1000="","",IF(ROUND(F1000,2)=5,"win","loss"))</f>
      </c>
      <c r="N1000" s="0" t="inlineStr">
        <is>
          <t xml:space="preserve"/>
        </is>
      </c>
      <c r="O1000" s="0" t="inlineStr">
        <is>
          <t xml:space="preserve"/>
        </is>
      </c>
      <c r="P1000" s="0" t="inlineStr">
        <is>
          <t xml:space="preserve"/>
        </is>
      </c>
      <c r="Q1000" s="0" t="inlineStr">
        <is>
          <t xml:space="preserve"/>
        </is>
      </c>
      <c r="R1000" s="0">
        <f>IF(D1000="","",IFERROR(LOOKUP(2,1/(($D$2:$D$1001=D1000)*($M$2:$M$1001="win")),$L$2:$L$1001),""))</f>
      </c>
      <c r="S1000" s="0" t="inlineStr">
        <is>
          <t xml:space="preserve"/>
        </is>
      </c>
      <c r="T1000" s="0" t="inlineStr">
        <is>
          <t xml:space="preserve"/>
        </is>
      </c>
      <c r="U1000" s="0" t="inlineStr">
        <is>
          <t xml:space="preserve"/>
        </is>
      </c>
      <c r="V1000" s="0" t="inlineStr">
        <is>
          <t xml:space="preserve"/>
        </is>
      </c>
      <c r="W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 t="inlineStr">
        <is>
          <t xml:space="preserve"/>
        </is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>
        <f>IF(E1001="","",IF(OR(ISNUMBER(SEARCH("狼",E1001)),ISNUMBER(SEARCH("石像鬼",E1001)),ISNUMBER(SEARCH("恶灵骑士",E1001)),ISNUMBER(SEARCH("黑蝙蝠",E1001)),ISNUMBER(SEARCH("血月使徒",E1001))),"werewolves","villagers"))</f>
      </c>
      <c r="M1001" s="0">
        <f>IF(F1001="","",IF(ROUND(F1001,2)=5,"win","loss"))</f>
      </c>
      <c r="N1001" s="0" t="inlineStr">
        <is>
          <t xml:space="preserve"/>
        </is>
      </c>
      <c r="O1001" s="0" t="inlineStr">
        <is>
          <t xml:space="preserve"/>
        </is>
      </c>
      <c r="P1001" s="0" t="inlineStr">
        <is>
          <t xml:space="preserve"/>
        </is>
      </c>
      <c r="Q1001" s="0" t="inlineStr">
        <is>
          <t xml:space="preserve"/>
        </is>
      </c>
      <c r="R1001" s="0">
        <f>IF(D1001="","",IFERROR(LOOKUP(2,1/(($D$2:$D$1001=D1001)*($M$2:$M$1001="win")),$L$2:$L$1001),""))</f>
      </c>
      <c r="S1001" s="0" t="inlineStr">
        <is>
          <t xml:space="preserve"/>
        </is>
      </c>
      <c r="T1001" s="0" t="inlineStr">
        <is>
          <t xml:space="preserve"/>
        </is>
      </c>
      <c r="U1001" s="0" t="inlineStr">
        <is>
          <t xml:space="preserve"/>
        </is>
      </c>
      <c r="V1001" s="0" t="inlineStr">
        <is>
          <t xml:space="preserve"/>
        </is>
      </c>
      <c r="W1001" s="0" t="inlineStr">
        <is>
          <t xml:space="preserve"/>
        </is>
      </c>
    </row>
  </sheetData>
</worksheet>
</file>
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W100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16" customWidth="1"/>
    <col min="4" max="4" width="13" customWidth="1"/>
    <col min="5" max="5" width="12" customWidth="1"/>
    <col min="6" max="6" width="10" customWidth="1"/>
    <col min="7" max="7" width="14" customWidth="1"/>
    <col min="8" max="8" width="17" customWidth="1"/>
    <col min="9" max="9" width="17" customWidth="1"/>
    <col min="10" max="10" width="23" customWidth="1"/>
    <col min="11" max="11" width="10" customWidth="1"/>
    <col min="12" max="12" width="11" customWidth="1"/>
    <col min="13" max="13" width="13" customWidth="1"/>
    <col min="14" max="14" width="10" customWidth="1"/>
    <col min="15" max="15" width="12" customWidth="1"/>
    <col min="16" max="16" width="15" customWidth="1"/>
    <col min="17" max="17" width="10" customWidth="1"/>
    <col min="18" max="18" width="13" customWidth="1"/>
    <col min="19" max="19" width="17" customWidth="1"/>
    <col min="20" max="20" width="16" customWidth="1"/>
    <col min="21" max="21" width="19" customWidth="1"/>
    <col min="22" max="22" width="15" customWidth="1"/>
    <col min="23" max="23" width="10" customWidth="1"/>
  </cols>
  <sheetData>
    <row r="1">
      <c r="A1" s="1" t="inlineStr">
        <is>
          <t xml:space="preserve">competition_name</t>
        </is>
      </c>
      <c r="B1" s="1" t="inlineStr">
        <is>
          <t xml:space="preserve">season_name</t>
        </is>
      </c>
      <c r="C1" s="1" t="inlineStr">
        <is>
          <t xml:space="preserve">match_id</t>
        </is>
      </c>
      <c r="D1" s="1" t="inlineStr">
        <is>
          <t xml:space="preserve">score_model</t>
        </is>
      </c>
      <c r="E1" s="1" t="inlineStr">
        <is>
          <t xml:space="preserve">played_on</t>
        </is>
      </c>
      <c r="F1" s="1" t="inlineStr">
        <is>
          <t xml:space="preserve">format</t>
        </is>
      </c>
      <c r="G1" s="1" t="inlineStr">
        <is>
          <t xml:space="preserve">winning_camp</t>
        </is>
      </c>
      <c r="H1" s="1" t="inlineStr">
        <is>
          <t xml:space="preserve">mvp_player_name</t>
        </is>
      </c>
      <c r="I1" s="1" t="inlineStr">
        <is>
          <t xml:space="preserve">svp_player_name</t>
        </is>
      </c>
      <c r="J1" s="1" t="inlineStr">
        <is>
          <t xml:space="preserve">scapegoat_player_name</t>
        </is>
      </c>
      <c r="K1" s="1" t="inlineStr">
        <is>
          <t xml:space="preserve">seat</t>
        </is>
      </c>
      <c r="L1" s="1" t="inlineStr">
        <is>
          <t xml:space="preserve">team_name</t>
        </is>
      </c>
      <c r="M1" s="1" t="inlineStr">
        <is>
          <t xml:space="preserve">player_name</t>
        </is>
      </c>
      <c r="N1" s="1" t="inlineStr">
        <is>
          <t xml:space="preserve">role</t>
        </is>
      </c>
      <c r="O1" s="1" t="inlineStr">
        <is>
          <t xml:space="preserve">camp</t>
        </is>
      </c>
      <c r="P1" s="1" t="inlineStr">
        <is>
          <t xml:space="preserve">result_points</t>
        </is>
      </c>
      <c r="Q1" s="1" t="inlineStr">
        <is>
          <t xml:space="preserve">result</t>
        </is>
      </c>
      <c r="R1" s="1" t="inlineStr">
        <is>
          <t xml:space="preserve">vote_points</t>
        </is>
      </c>
      <c r="S1" s="1" t="inlineStr">
        <is>
          <t xml:space="preserve">behavior_points</t>
        </is>
      </c>
      <c r="T1" s="1" t="inlineStr">
        <is>
          <t xml:space="preserve">special_points</t>
        </is>
      </c>
      <c r="U1" s="1" t="inlineStr">
        <is>
          <t xml:space="preserve">adjustment_points</t>
        </is>
      </c>
      <c r="V1" s="1" t="inlineStr">
        <is>
          <t xml:space="preserve">points_earned</t>
        </is>
      </c>
      <c r="W1" s="1" t="inlineStr">
        <is>
          <t xml:space="preserve">notes</t>
        </is>
      </c>
    </row>
    <row r="2">
      <c r="A2" s="0" t="inlineStr">
        <is>
          <t xml:space="preserve">LAL广州公开赛</t>
        </is>
      </c>
      <c r="B2" s="0" t="inlineStr">
        <is>
          <t xml:space="preserve">2026春季联赛</t>
        </is>
      </c>
      <c r="C2" s="0" t="inlineStr">
        <is>
          <t xml:space="preserve">gz-s-260410-01</t>
        </is>
      </c>
      <c r="D2" s="0" t="inlineStr">
        <is>
          <t xml:space="preserve">standard</t>
        </is>
      </c>
      <c r="E2" s="0" t="inlineStr">
        <is>
          <t xml:space="preserve">2026-04-10</t>
        </is>
      </c>
      <c r="F2" s="0" t="inlineStr">
        <is>
          <t xml:space="preserve">经典十二人局</t>
        </is>
      </c>
      <c r="G2" s="0" t="str">
        <f>IF(C2="","",IFERROR(LOOKUP(2,1/(($C$2:$C$1001=C2)*($Q$2:$Q$1001="win")),$O$2:$O$1001),""))</f>
        <v>villagers</v>
      </c>
      <c r="H2" s="0" t="inlineStr">
        <is>
          <t xml:space="preserve">是</t>
        </is>
      </c>
      <c r="I2" s="0" t="inlineStr">
        <is>
          <t xml:space="preserve"/>
        </is>
      </c>
      <c r="J2" s="0" t="inlineStr">
        <is>
          <t xml:space="preserve"/>
        </is>
      </c>
      <c r="K2" s="0">
        <v>1</v>
      </c>
      <c r="L2" s="0" t="inlineStr">
        <is>
          <t xml:space="preserve">罗生门</t>
        </is>
      </c>
      <c r="M2" s="0" t="inlineStr">
        <is>
          <t xml:space="preserve">悟空</t>
        </is>
      </c>
      <c r="N2" s="0" t="inlineStr">
        <is>
          <t xml:space="preserve">预言家</t>
        </is>
      </c>
      <c r="O2" s="0" t="str">
        <f>IF(N2="","",IF(OR(ISNUMBER(SEARCH("狼",N2)),ISNUMBER(SEARCH("石像鬼",N2)),ISNUMBER(SEARCH("恶灵骑士",N2)),ISNUMBER(SEARCH("黑蝙蝠",N2)),ISNUMBER(SEARCH("血月使徒",N2))),"werewolves","villagers"))</f>
        <v>villagers</v>
      </c>
      <c r="P2" s="0">
        <v>5</v>
      </c>
      <c r="Q2" s="0" t="str">
        <f>IF(P2="","",IF(ROUND(P2,2)=5,"win","loss"))</f>
        <v>win</v>
      </c>
      <c r="R2" s="0">
        <v>0.5</v>
      </c>
      <c r="S2" s="0">
        <v>0</v>
      </c>
      <c r="T2" s="0">
        <v>0</v>
      </c>
      <c r="U2" s="0">
        <v>0</v>
      </c>
      <c r="V2" s="0">
        <v>5.5</v>
      </c>
      <c r="W2" s="0" t="inlineStr">
        <is>
          <t xml:space="preserve"/>
        </is>
      </c>
    </row>
    <row r="3">
      <c r="A3" s="0" t="inlineStr">
        <is>
          <t xml:space="preserve">LAL广州公开赛</t>
        </is>
      </c>
      <c r="B3" s="0" t="inlineStr">
        <is>
          <t xml:space="preserve">2026春季联赛</t>
        </is>
      </c>
      <c r="C3" s="0" t="inlineStr">
        <is>
          <t xml:space="preserve">gz-s-260410-01</t>
        </is>
      </c>
      <c r="D3" s="0" t="inlineStr">
        <is>
          <t xml:space="preserve">standard</t>
        </is>
      </c>
      <c r="E3" s="0" t="inlineStr">
        <is>
          <t xml:space="preserve">2026-04-10</t>
        </is>
      </c>
      <c r="F3" s="0" t="inlineStr">
        <is>
          <t xml:space="preserve">经典十二人局</t>
        </is>
      </c>
      <c r="G3" s="0" t="str">
        <f>IF(C3="","",IFERROR(LOOKUP(2,1/(($C$2:$C$1001=C3)*($Q$2:$Q$1001="win")),$O$2:$O$1001),""))</f>
        <v>villagers</v>
      </c>
      <c r="H3" s="0" t="inlineStr">
        <is>
          <t xml:space="preserve"/>
        </is>
      </c>
      <c r="I3" s="0" t="inlineStr">
        <is>
          <t xml:space="preserve">是</t>
        </is>
      </c>
      <c r="J3" s="0" t="inlineStr">
        <is>
          <t xml:space="preserve"/>
        </is>
      </c>
      <c r="K3" s="0">
        <v>2</v>
      </c>
      <c r="L3" s="0" t="inlineStr">
        <is>
          <t xml:space="preserve">颜杀</t>
        </is>
      </c>
      <c r="M3" s="0" t="inlineStr">
        <is>
          <t xml:space="preserve">宇白</t>
        </is>
      </c>
      <c r="N3" s="0" t="inlineStr">
        <is>
          <t xml:space="preserve">女巫</t>
        </is>
      </c>
      <c r="O3" s="0" t="str">
        <f>IF(N3="","",IF(OR(ISNUMBER(SEARCH("狼",N3)),ISNUMBER(SEARCH("石像鬼",N3)),ISNUMBER(SEARCH("恶灵骑士",N3)),ISNUMBER(SEARCH("黑蝙蝠",N3)),ISNUMBER(SEARCH("血月使徒",N3))),"werewolves","villagers"))</f>
        <v>villagers</v>
      </c>
      <c r="P3" s="0">
        <v>5</v>
      </c>
      <c r="Q3" s="0" t="str">
        <f>IF(P3="","",IF(ROUND(P3,2)=5,"win","loss"))</f>
        <v>win</v>
      </c>
      <c r="R3" s="0">
        <v>0</v>
      </c>
      <c r="S3" s="0">
        <v>0.5</v>
      </c>
      <c r="T3" s="0">
        <v>0</v>
      </c>
      <c r="U3" s="0">
        <v>0</v>
      </c>
      <c r="V3" s="0">
        <v>5.5</v>
      </c>
      <c r="W3" s="0" t="inlineStr">
        <is>
          <t xml:space="preserve"/>
        </is>
      </c>
    </row>
    <row r="4">
      <c r="A4" s="0" t="inlineStr">
        <is>
          <t xml:space="preserve">LAL广州公开赛</t>
        </is>
      </c>
      <c r="B4" s="0" t="inlineStr">
        <is>
          <t xml:space="preserve">2026春季联赛</t>
        </is>
      </c>
      <c r="C4" s="0" t="inlineStr">
        <is>
          <t xml:space="preserve">gz-s-260410-01</t>
        </is>
      </c>
      <c r="D4" s="0" t="inlineStr">
        <is>
          <t xml:space="preserve">standard</t>
        </is>
      </c>
      <c r="E4" s="0" t="inlineStr">
        <is>
          <t xml:space="preserve">2026-04-10</t>
        </is>
      </c>
      <c r="F4" s="0" t="inlineStr">
        <is>
          <t xml:space="preserve">经典十二人局</t>
        </is>
      </c>
      <c r="G4" s="0" t="str">
        <f>IF(C4="","",IFERROR(LOOKUP(2,1/(($C$2:$C$1001=C4)*($Q$2:$Q$1001="win")),$O$2:$O$1001),""))</f>
        <v>villagers</v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>
        <v>3</v>
      </c>
      <c r="L4" s="0" t="inlineStr">
        <is>
          <t xml:space="preserve">玛卡巴卡</t>
        </is>
      </c>
      <c r="M4" s="0" t="inlineStr">
        <is>
          <t xml:space="preserve">铁柱伦</t>
        </is>
      </c>
      <c r="N4" s="0" t="inlineStr">
        <is>
          <t xml:space="preserve">狼人</t>
        </is>
      </c>
      <c r="O4" s="0" t="str">
        <f>IF(N4="","",IF(OR(ISNUMBER(SEARCH("狼",N4)),ISNUMBER(SEARCH("石像鬼",N4)),ISNUMBER(SEARCH("恶灵骑士",N4)),ISNUMBER(SEARCH("黑蝙蝠",N4)),ISNUMBER(SEARCH("血月使徒",N4))),"werewolves","villagers"))</f>
        <v>werewolves</v>
      </c>
      <c r="P4" s="0">
        <v>0</v>
      </c>
      <c r="Q4" s="0" t="str">
        <f>IF(P4="","",IF(ROUND(P4,2)=5,"win","loss"))</f>
        <v>loss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>
        <f>IF(C5="","",IFERROR(LOOKUP(2,1/(($C$2:$C$1001=C5)*($Q$2:$Q$1001="win")),$O$2:$O$1001),""))</f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>
        <f>IF(N5="","",IF(OR(ISNUMBER(SEARCH("狼",N5)),ISNUMBER(SEARCH("石像鬼",N5)),ISNUMBER(SEARCH("恶灵骑士",N5)),ISNUMBER(SEARCH("黑蝙蝠",N5)),ISNUMBER(SEARCH("血月使徒",N5))),"werewolves","villagers"))</f>
      </c>
      <c r="P5" s="0" t="inlineStr">
        <is>
          <t xml:space="preserve"/>
        </is>
      </c>
      <c r="Q5" s="0">
        <f>IF(P5="","",IF(ROUND(P5,2)=5,"win","loss"))</f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>
        <f>IF(C6="","",IFERROR(LOOKUP(2,1/(($C$2:$C$1001=C6)*($Q$2:$Q$1001="win")),$O$2:$O$1001),""))</f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>
        <f>IF(N6="","",IF(OR(ISNUMBER(SEARCH("狼",N6)),ISNUMBER(SEARCH("石像鬼",N6)),ISNUMBER(SEARCH("恶灵骑士",N6)),ISNUMBER(SEARCH("黑蝙蝠",N6)),ISNUMBER(SEARCH("血月使徒",N6))),"werewolves","villagers"))</f>
      </c>
      <c r="P6" s="0" t="inlineStr">
        <is>
          <t xml:space="preserve"/>
        </is>
      </c>
      <c r="Q6" s="0">
        <f>IF(P6="","",IF(ROUND(P6,2)=5,"win","loss"))</f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>
        <f>IF(C7="","",IFERROR(LOOKUP(2,1/(($C$2:$C$1001=C7)*($Q$2:$Q$1001="win")),$O$2:$O$1001),""))</f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>
        <f>IF(N7="","",IF(OR(ISNUMBER(SEARCH("狼",N7)),ISNUMBER(SEARCH("石像鬼",N7)),ISNUMBER(SEARCH("恶灵骑士",N7)),ISNUMBER(SEARCH("黑蝙蝠",N7)),ISNUMBER(SEARCH("血月使徒",N7))),"werewolves","villagers"))</f>
      </c>
      <c r="P7" s="0" t="inlineStr">
        <is>
          <t xml:space="preserve"/>
        </is>
      </c>
      <c r="Q7" s="0">
        <f>IF(P7="","",IF(ROUND(P7,2)=5,"win","loss"))</f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>
        <f>IF(C8="","",IFERROR(LOOKUP(2,1/(($C$2:$C$1001=C8)*($Q$2:$Q$1001="win")),$O$2:$O$1001),""))</f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>
        <f>IF(N8="","",IF(OR(ISNUMBER(SEARCH("狼",N8)),ISNUMBER(SEARCH("石像鬼",N8)),ISNUMBER(SEARCH("恶灵骑士",N8)),ISNUMBER(SEARCH("黑蝙蝠",N8)),ISNUMBER(SEARCH("血月使徒",N8))),"werewolves","villagers"))</f>
      </c>
      <c r="P8" s="0" t="inlineStr">
        <is>
          <t xml:space="preserve"/>
        </is>
      </c>
      <c r="Q8" s="0">
        <f>IF(P8="","",IF(ROUND(P8,2)=5,"win","loss"))</f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>
        <f>IF(C9="","",IFERROR(LOOKUP(2,1/(($C$2:$C$1001=C9)*($Q$2:$Q$1001="win")),$O$2:$O$1001),""))</f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>
        <f>IF(N9="","",IF(OR(ISNUMBER(SEARCH("狼",N9)),ISNUMBER(SEARCH("石像鬼",N9)),ISNUMBER(SEARCH("恶灵骑士",N9)),ISNUMBER(SEARCH("黑蝙蝠",N9)),ISNUMBER(SEARCH("血月使徒",N9))),"werewolves","villagers"))</f>
      </c>
      <c r="P9" s="0" t="inlineStr">
        <is>
          <t xml:space="preserve"/>
        </is>
      </c>
      <c r="Q9" s="0">
        <f>IF(P9="","",IF(ROUND(P9,2)=5,"win","loss"))</f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>
        <f>IF(C10="","",IFERROR(LOOKUP(2,1/(($C$2:$C$1001=C10)*($Q$2:$Q$1001="win")),$O$2:$O$1001),""))</f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>
        <f>IF(N10="","",IF(OR(ISNUMBER(SEARCH("狼",N10)),ISNUMBER(SEARCH("石像鬼",N10)),ISNUMBER(SEARCH("恶灵骑士",N10)),ISNUMBER(SEARCH("黑蝙蝠",N10)),ISNUMBER(SEARCH("血月使徒",N10))),"werewolves","villagers"))</f>
      </c>
      <c r="P10" s="0" t="inlineStr">
        <is>
          <t xml:space="preserve"/>
        </is>
      </c>
      <c r="Q10" s="0">
        <f>IF(P10="","",IF(ROUND(P10,2)=5,"win","loss"))</f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>
        <f>IF(C11="","",IFERROR(LOOKUP(2,1/(($C$2:$C$1001=C11)*($Q$2:$Q$1001="win")),$O$2:$O$1001),""))</f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>
        <f>IF(N11="","",IF(OR(ISNUMBER(SEARCH("狼",N11)),ISNUMBER(SEARCH("石像鬼",N11)),ISNUMBER(SEARCH("恶灵骑士",N11)),ISNUMBER(SEARCH("黑蝙蝠",N11)),ISNUMBER(SEARCH("血月使徒",N11))),"werewolves","villagers"))</f>
      </c>
      <c r="P11" s="0" t="inlineStr">
        <is>
          <t xml:space="preserve"/>
        </is>
      </c>
      <c r="Q11" s="0">
        <f>IF(P11="","",IF(ROUND(P11,2)=5,"win","loss"))</f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>
        <f>IF(C12="","",IFERROR(LOOKUP(2,1/(($C$2:$C$1001=C12)*($Q$2:$Q$1001="win")),$O$2:$O$1001),""))</f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>
        <f>IF(N12="","",IF(OR(ISNUMBER(SEARCH("狼",N12)),ISNUMBER(SEARCH("石像鬼",N12)),ISNUMBER(SEARCH("恶灵骑士",N12)),ISNUMBER(SEARCH("黑蝙蝠",N12)),ISNUMBER(SEARCH("血月使徒",N12))),"werewolves","villagers"))</f>
      </c>
      <c r="P12" s="0" t="inlineStr">
        <is>
          <t xml:space="preserve"/>
        </is>
      </c>
      <c r="Q12" s="0">
        <f>IF(P12="","",IF(ROUND(P12,2)=5,"win","loss"))</f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>
        <f>IF(C13="","",IFERROR(LOOKUP(2,1/(($C$2:$C$1001=C13)*($Q$2:$Q$1001="win")),$O$2:$O$1001),""))</f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>
        <f>IF(N13="","",IF(OR(ISNUMBER(SEARCH("狼",N13)),ISNUMBER(SEARCH("石像鬼",N13)),ISNUMBER(SEARCH("恶灵骑士",N13)),ISNUMBER(SEARCH("黑蝙蝠",N13)),ISNUMBER(SEARCH("血月使徒",N13))),"werewolves","villagers"))</f>
      </c>
      <c r="P13" s="0" t="inlineStr">
        <is>
          <t xml:space="preserve"/>
        </is>
      </c>
      <c r="Q13" s="0">
        <f>IF(P13="","",IF(ROUND(P13,2)=5,"win","loss"))</f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>
        <f>IF(C14="","",IFERROR(LOOKUP(2,1/(($C$2:$C$1001=C14)*($Q$2:$Q$1001="win")),$O$2:$O$1001),""))</f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>
        <f>IF(N14="","",IF(OR(ISNUMBER(SEARCH("狼",N14)),ISNUMBER(SEARCH("石像鬼",N14)),ISNUMBER(SEARCH("恶灵骑士",N14)),ISNUMBER(SEARCH("黑蝙蝠",N14)),ISNUMBER(SEARCH("血月使徒",N14))),"werewolves","villagers"))</f>
      </c>
      <c r="P14" s="0" t="inlineStr">
        <is>
          <t xml:space="preserve"/>
        </is>
      </c>
      <c r="Q14" s="0">
        <f>IF(P14="","",IF(ROUND(P14,2)=5,"win","loss"))</f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>
        <f>IF(C15="","",IFERROR(LOOKUP(2,1/(($C$2:$C$1001=C15)*($Q$2:$Q$1001="win")),$O$2:$O$1001),""))</f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>
        <f>IF(N15="","",IF(OR(ISNUMBER(SEARCH("狼",N15)),ISNUMBER(SEARCH("石像鬼",N15)),ISNUMBER(SEARCH("恶灵骑士",N15)),ISNUMBER(SEARCH("黑蝙蝠",N15)),ISNUMBER(SEARCH("血月使徒",N15))),"werewolves","villagers"))</f>
      </c>
      <c r="P15" s="0" t="inlineStr">
        <is>
          <t xml:space="preserve"/>
        </is>
      </c>
      <c r="Q15" s="0">
        <f>IF(P15="","",IF(ROUND(P15,2)=5,"win","loss"))</f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>
        <f>IF(C16="","",IFERROR(LOOKUP(2,1/(($C$2:$C$1001=C16)*($Q$2:$Q$1001="win")),$O$2:$O$1001),""))</f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>
        <f>IF(N16="","",IF(OR(ISNUMBER(SEARCH("狼",N16)),ISNUMBER(SEARCH("石像鬼",N16)),ISNUMBER(SEARCH("恶灵骑士",N16)),ISNUMBER(SEARCH("黑蝙蝠",N16)),ISNUMBER(SEARCH("血月使徒",N16))),"werewolves","villagers"))</f>
      </c>
      <c r="P16" s="0" t="inlineStr">
        <is>
          <t xml:space="preserve"/>
        </is>
      </c>
      <c r="Q16" s="0">
        <f>IF(P16="","",IF(ROUND(P16,2)=5,"win","loss"))</f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>
        <f>IF(C17="","",IFERROR(LOOKUP(2,1/(($C$2:$C$1001=C17)*($Q$2:$Q$1001="win")),$O$2:$O$1001),""))</f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>
        <f>IF(N17="","",IF(OR(ISNUMBER(SEARCH("狼",N17)),ISNUMBER(SEARCH("石像鬼",N17)),ISNUMBER(SEARCH("恶灵骑士",N17)),ISNUMBER(SEARCH("黑蝙蝠",N17)),ISNUMBER(SEARCH("血月使徒",N17))),"werewolves","villagers"))</f>
      </c>
      <c r="P17" s="0" t="inlineStr">
        <is>
          <t xml:space="preserve"/>
        </is>
      </c>
      <c r="Q17" s="0">
        <f>IF(P17="","",IF(ROUND(P17,2)=5,"win","loss"))</f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>
        <f>IF(C18="","",IFERROR(LOOKUP(2,1/(($C$2:$C$1001=C18)*($Q$2:$Q$1001="win")),$O$2:$O$1001),""))</f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>
        <f>IF(N18="","",IF(OR(ISNUMBER(SEARCH("狼",N18)),ISNUMBER(SEARCH("石像鬼",N18)),ISNUMBER(SEARCH("恶灵骑士",N18)),ISNUMBER(SEARCH("黑蝙蝠",N18)),ISNUMBER(SEARCH("血月使徒",N18))),"werewolves","villagers"))</f>
      </c>
      <c r="P18" s="0" t="inlineStr">
        <is>
          <t xml:space="preserve"/>
        </is>
      </c>
      <c r="Q18" s="0">
        <f>IF(P18="","",IF(ROUND(P18,2)=5,"win","loss"))</f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>
        <f>IF(C19="","",IFERROR(LOOKUP(2,1/(($C$2:$C$1001=C19)*($Q$2:$Q$1001="win")),$O$2:$O$1001),""))</f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>
        <f>IF(N19="","",IF(OR(ISNUMBER(SEARCH("狼",N19)),ISNUMBER(SEARCH("石像鬼",N19)),ISNUMBER(SEARCH("恶灵骑士",N19)),ISNUMBER(SEARCH("黑蝙蝠",N19)),ISNUMBER(SEARCH("血月使徒",N19))),"werewolves","villagers"))</f>
      </c>
      <c r="P19" s="0" t="inlineStr">
        <is>
          <t xml:space="preserve"/>
        </is>
      </c>
      <c r="Q19" s="0">
        <f>IF(P19="","",IF(ROUND(P19,2)=5,"win","loss"))</f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>
        <f>IF(C20="","",IFERROR(LOOKUP(2,1/(($C$2:$C$1001=C20)*($Q$2:$Q$1001="win")),$O$2:$O$1001),""))</f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>
        <f>IF(N20="","",IF(OR(ISNUMBER(SEARCH("狼",N20)),ISNUMBER(SEARCH("石像鬼",N20)),ISNUMBER(SEARCH("恶灵骑士",N20)),ISNUMBER(SEARCH("黑蝙蝠",N20)),ISNUMBER(SEARCH("血月使徒",N20))),"werewolves","villagers"))</f>
      </c>
      <c r="P20" s="0" t="inlineStr">
        <is>
          <t xml:space="preserve"/>
        </is>
      </c>
      <c r="Q20" s="0">
        <f>IF(P20="","",IF(ROUND(P20,2)=5,"win","loss"))</f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>
        <f>IF(C21="","",IFERROR(LOOKUP(2,1/(($C$2:$C$1001=C21)*($Q$2:$Q$1001="win")),$O$2:$O$1001),""))</f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>
        <f>IF(N21="","",IF(OR(ISNUMBER(SEARCH("狼",N21)),ISNUMBER(SEARCH("石像鬼",N21)),ISNUMBER(SEARCH("恶灵骑士",N21)),ISNUMBER(SEARCH("黑蝙蝠",N21)),ISNUMBER(SEARCH("血月使徒",N21))),"werewolves","villagers"))</f>
      </c>
      <c r="P21" s="0" t="inlineStr">
        <is>
          <t xml:space="preserve"/>
        </is>
      </c>
      <c r="Q21" s="0">
        <f>IF(P21="","",IF(ROUND(P21,2)=5,"win","loss"))</f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>
        <f>IF(C22="","",IFERROR(LOOKUP(2,1/(($C$2:$C$1001=C22)*($Q$2:$Q$1001="win")),$O$2:$O$1001),""))</f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>
        <f>IF(N22="","",IF(OR(ISNUMBER(SEARCH("狼",N22)),ISNUMBER(SEARCH("石像鬼",N22)),ISNUMBER(SEARCH("恶灵骑士",N22)),ISNUMBER(SEARCH("黑蝙蝠",N22)),ISNUMBER(SEARCH("血月使徒",N22))),"werewolves","villagers"))</f>
      </c>
      <c r="P22" s="0" t="inlineStr">
        <is>
          <t xml:space="preserve"/>
        </is>
      </c>
      <c r="Q22" s="0">
        <f>IF(P22="","",IF(ROUND(P22,2)=5,"win","loss"))</f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>
        <f>IF(C23="","",IFERROR(LOOKUP(2,1/(($C$2:$C$1001=C23)*($Q$2:$Q$1001="win")),$O$2:$O$1001),""))</f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>
        <f>IF(N23="","",IF(OR(ISNUMBER(SEARCH("狼",N23)),ISNUMBER(SEARCH("石像鬼",N23)),ISNUMBER(SEARCH("恶灵骑士",N23)),ISNUMBER(SEARCH("黑蝙蝠",N23)),ISNUMBER(SEARCH("血月使徒",N23))),"werewolves","villagers"))</f>
      </c>
      <c r="P23" s="0" t="inlineStr">
        <is>
          <t xml:space="preserve"/>
        </is>
      </c>
      <c r="Q23" s="0">
        <f>IF(P23="","",IF(ROUND(P23,2)=5,"win","loss"))</f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>
        <f>IF(C24="","",IFERROR(LOOKUP(2,1/(($C$2:$C$1001=C24)*($Q$2:$Q$1001="win")),$O$2:$O$1001),""))</f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>
        <f>IF(N24="","",IF(OR(ISNUMBER(SEARCH("狼",N24)),ISNUMBER(SEARCH("石像鬼",N24)),ISNUMBER(SEARCH("恶灵骑士",N24)),ISNUMBER(SEARCH("黑蝙蝠",N24)),ISNUMBER(SEARCH("血月使徒",N24))),"werewolves","villagers"))</f>
      </c>
      <c r="P24" s="0" t="inlineStr">
        <is>
          <t xml:space="preserve"/>
        </is>
      </c>
      <c r="Q24" s="0">
        <f>IF(P24="","",IF(ROUND(P24,2)=5,"win","loss"))</f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>
        <f>IF(C25="","",IFERROR(LOOKUP(2,1/(($C$2:$C$1001=C25)*($Q$2:$Q$1001="win")),$O$2:$O$1001),""))</f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>
        <f>IF(N25="","",IF(OR(ISNUMBER(SEARCH("狼",N25)),ISNUMBER(SEARCH("石像鬼",N25)),ISNUMBER(SEARCH("恶灵骑士",N25)),ISNUMBER(SEARCH("黑蝙蝠",N25)),ISNUMBER(SEARCH("血月使徒",N25))),"werewolves","villagers"))</f>
      </c>
      <c r="P25" s="0" t="inlineStr">
        <is>
          <t xml:space="preserve"/>
        </is>
      </c>
      <c r="Q25" s="0">
        <f>IF(P25="","",IF(ROUND(P25,2)=5,"win","loss"))</f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>
        <f>IF(C26="","",IFERROR(LOOKUP(2,1/(($C$2:$C$1001=C26)*($Q$2:$Q$1001="win")),$O$2:$O$1001),""))</f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>
        <f>IF(N26="","",IF(OR(ISNUMBER(SEARCH("狼",N26)),ISNUMBER(SEARCH("石像鬼",N26)),ISNUMBER(SEARCH("恶灵骑士",N26)),ISNUMBER(SEARCH("黑蝙蝠",N26)),ISNUMBER(SEARCH("血月使徒",N26))),"werewolves","villagers"))</f>
      </c>
      <c r="P26" s="0" t="inlineStr">
        <is>
          <t xml:space="preserve"/>
        </is>
      </c>
      <c r="Q26" s="0">
        <f>IF(P26="","",IF(ROUND(P26,2)=5,"win","loss"))</f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>
        <f>IF(C27="","",IFERROR(LOOKUP(2,1/(($C$2:$C$1001=C27)*($Q$2:$Q$1001="win")),$O$2:$O$1001),""))</f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>
        <f>IF(N27="","",IF(OR(ISNUMBER(SEARCH("狼",N27)),ISNUMBER(SEARCH("石像鬼",N27)),ISNUMBER(SEARCH("恶灵骑士",N27)),ISNUMBER(SEARCH("黑蝙蝠",N27)),ISNUMBER(SEARCH("血月使徒",N27))),"werewolves","villagers"))</f>
      </c>
      <c r="P27" s="0" t="inlineStr">
        <is>
          <t xml:space="preserve"/>
        </is>
      </c>
      <c r="Q27" s="0">
        <f>IF(P27="","",IF(ROUND(P27,2)=5,"win","loss"))</f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>
        <f>IF(C28="","",IFERROR(LOOKUP(2,1/(($C$2:$C$1001=C28)*($Q$2:$Q$1001="win")),$O$2:$O$1001),""))</f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>
        <f>IF(N28="","",IF(OR(ISNUMBER(SEARCH("狼",N28)),ISNUMBER(SEARCH("石像鬼",N28)),ISNUMBER(SEARCH("恶灵骑士",N28)),ISNUMBER(SEARCH("黑蝙蝠",N28)),ISNUMBER(SEARCH("血月使徒",N28))),"werewolves","villagers"))</f>
      </c>
      <c r="P28" s="0" t="inlineStr">
        <is>
          <t xml:space="preserve"/>
        </is>
      </c>
      <c r="Q28" s="0">
        <f>IF(P28="","",IF(ROUND(P28,2)=5,"win","loss"))</f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>
        <f>IF(C29="","",IFERROR(LOOKUP(2,1/(($C$2:$C$1001=C29)*($Q$2:$Q$1001="win")),$O$2:$O$1001),""))</f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>
        <f>IF(N29="","",IF(OR(ISNUMBER(SEARCH("狼",N29)),ISNUMBER(SEARCH("石像鬼",N29)),ISNUMBER(SEARCH("恶灵骑士",N29)),ISNUMBER(SEARCH("黑蝙蝠",N29)),ISNUMBER(SEARCH("血月使徒",N29))),"werewolves","villagers"))</f>
      </c>
      <c r="P29" s="0" t="inlineStr">
        <is>
          <t xml:space="preserve"/>
        </is>
      </c>
      <c r="Q29" s="0">
        <f>IF(P29="","",IF(ROUND(P29,2)=5,"win","loss"))</f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>
        <f>IF(C30="","",IFERROR(LOOKUP(2,1/(($C$2:$C$1001=C30)*($Q$2:$Q$1001="win")),$O$2:$O$1001),""))</f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>
        <f>IF(N30="","",IF(OR(ISNUMBER(SEARCH("狼",N30)),ISNUMBER(SEARCH("石像鬼",N30)),ISNUMBER(SEARCH("恶灵骑士",N30)),ISNUMBER(SEARCH("黑蝙蝠",N30)),ISNUMBER(SEARCH("血月使徒",N30))),"werewolves","villagers"))</f>
      </c>
      <c r="P30" s="0" t="inlineStr">
        <is>
          <t xml:space="preserve"/>
        </is>
      </c>
      <c r="Q30" s="0">
        <f>IF(P30="","",IF(ROUND(P30,2)=5,"win","loss"))</f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>
        <f>IF(C31="","",IFERROR(LOOKUP(2,1/(($C$2:$C$1001=C31)*($Q$2:$Q$1001="win")),$O$2:$O$1001),""))</f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>
        <f>IF(N31="","",IF(OR(ISNUMBER(SEARCH("狼",N31)),ISNUMBER(SEARCH("石像鬼",N31)),ISNUMBER(SEARCH("恶灵骑士",N31)),ISNUMBER(SEARCH("黑蝙蝠",N31)),ISNUMBER(SEARCH("血月使徒",N31))),"werewolves","villagers"))</f>
      </c>
      <c r="P31" s="0" t="inlineStr">
        <is>
          <t xml:space="preserve"/>
        </is>
      </c>
      <c r="Q31" s="0">
        <f>IF(P31="","",IF(ROUND(P31,2)=5,"win","loss"))</f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>
        <f>IF(C32="","",IFERROR(LOOKUP(2,1/(($C$2:$C$1001=C32)*($Q$2:$Q$1001="win")),$O$2:$O$1001),""))</f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>
        <f>IF(N32="","",IF(OR(ISNUMBER(SEARCH("狼",N32)),ISNUMBER(SEARCH("石像鬼",N32)),ISNUMBER(SEARCH("恶灵骑士",N32)),ISNUMBER(SEARCH("黑蝙蝠",N32)),ISNUMBER(SEARCH("血月使徒",N32))),"werewolves","villagers"))</f>
      </c>
      <c r="P32" s="0" t="inlineStr">
        <is>
          <t xml:space="preserve"/>
        </is>
      </c>
      <c r="Q32" s="0">
        <f>IF(P32="","",IF(ROUND(P32,2)=5,"win","loss"))</f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>
        <f>IF(C33="","",IFERROR(LOOKUP(2,1/(($C$2:$C$1001=C33)*($Q$2:$Q$1001="win")),$O$2:$O$1001),""))</f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>
        <f>IF(N33="","",IF(OR(ISNUMBER(SEARCH("狼",N33)),ISNUMBER(SEARCH("石像鬼",N33)),ISNUMBER(SEARCH("恶灵骑士",N33)),ISNUMBER(SEARCH("黑蝙蝠",N33)),ISNUMBER(SEARCH("血月使徒",N33))),"werewolves","villagers"))</f>
      </c>
      <c r="P33" s="0" t="inlineStr">
        <is>
          <t xml:space="preserve"/>
        </is>
      </c>
      <c r="Q33" s="0">
        <f>IF(P33="","",IF(ROUND(P33,2)=5,"win","loss"))</f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>
        <f>IF(C34="","",IFERROR(LOOKUP(2,1/(($C$2:$C$1001=C34)*($Q$2:$Q$1001="win")),$O$2:$O$1001),""))</f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>
        <f>IF(N34="","",IF(OR(ISNUMBER(SEARCH("狼",N34)),ISNUMBER(SEARCH("石像鬼",N34)),ISNUMBER(SEARCH("恶灵骑士",N34)),ISNUMBER(SEARCH("黑蝙蝠",N34)),ISNUMBER(SEARCH("血月使徒",N34))),"werewolves","villagers"))</f>
      </c>
      <c r="P34" s="0" t="inlineStr">
        <is>
          <t xml:space="preserve"/>
        </is>
      </c>
      <c r="Q34" s="0">
        <f>IF(P34="","",IF(ROUND(P34,2)=5,"win","loss"))</f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>
        <f>IF(C35="","",IFERROR(LOOKUP(2,1/(($C$2:$C$1001=C35)*($Q$2:$Q$1001="win")),$O$2:$O$1001),""))</f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>
        <f>IF(N35="","",IF(OR(ISNUMBER(SEARCH("狼",N35)),ISNUMBER(SEARCH("石像鬼",N35)),ISNUMBER(SEARCH("恶灵骑士",N35)),ISNUMBER(SEARCH("黑蝙蝠",N35)),ISNUMBER(SEARCH("血月使徒",N35))),"werewolves","villagers"))</f>
      </c>
      <c r="P35" s="0" t="inlineStr">
        <is>
          <t xml:space="preserve"/>
        </is>
      </c>
      <c r="Q35" s="0">
        <f>IF(P35="","",IF(ROUND(P35,2)=5,"win","loss"))</f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>
        <f>IF(C36="","",IFERROR(LOOKUP(2,1/(($C$2:$C$1001=C36)*($Q$2:$Q$1001="win")),$O$2:$O$1001),""))</f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>
        <f>IF(N36="","",IF(OR(ISNUMBER(SEARCH("狼",N36)),ISNUMBER(SEARCH("石像鬼",N36)),ISNUMBER(SEARCH("恶灵骑士",N36)),ISNUMBER(SEARCH("黑蝙蝠",N36)),ISNUMBER(SEARCH("血月使徒",N36))),"werewolves","villagers"))</f>
      </c>
      <c r="P36" s="0" t="inlineStr">
        <is>
          <t xml:space="preserve"/>
        </is>
      </c>
      <c r="Q36" s="0">
        <f>IF(P36="","",IF(ROUND(P36,2)=5,"win","loss"))</f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>
        <f>IF(C37="","",IFERROR(LOOKUP(2,1/(($C$2:$C$1001=C37)*($Q$2:$Q$1001="win")),$O$2:$O$1001),""))</f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>
        <f>IF(N37="","",IF(OR(ISNUMBER(SEARCH("狼",N37)),ISNUMBER(SEARCH("石像鬼",N37)),ISNUMBER(SEARCH("恶灵骑士",N37)),ISNUMBER(SEARCH("黑蝙蝠",N37)),ISNUMBER(SEARCH("血月使徒",N37))),"werewolves","villagers"))</f>
      </c>
      <c r="P37" s="0" t="inlineStr">
        <is>
          <t xml:space="preserve"/>
        </is>
      </c>
      <c r="Q37" s="0">
        <f>IF(P37="","",IF(ROUND(P37,2)=5,"win","loss"))</f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>
        <f>IF(C38="","",IFERROR(LOOKUP(2,1/(($C$2:$C$1001=C38)*($Q$2:$Q$1001="win")),$O$2:$O$1001),""))</f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>
        <f>IF(N38="","",IF(OR(ISNUMBER(SEARCH("狼",N38)),ISNUMBER(SEARCH("石像鬼",N38)),ISNUMBER(SEARCH("恶灵骑士",N38)),ISNUMBER(SEARCH("黑蝙蝠",N38)),ISNUMBER(SEARCH("血月使徒",N38))),"werewolves","villagers"))</f>
      </c>
      <c r="P38" s="0" t="inlineStr">
        <is>
          <t xml:space="preserve"/>
        </is>
      </c>
      <c r="Q38" s="0">
        <f>IF(P38="","",IF(ROUND(P38,2)=5,"win","loss"))</f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>
        <f>IF(C39="","",IFERROR(LOOKUP(2,1/(($C$2:$C$1001=C39)*($Q$2:$Q$1001="win")),$O$2:$O$1001),""))</f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>
        <f>IF(N39="","",IF(OR(ISNUMBER(SEARCH("狼",N39)),ISNUMBER(SEARCH("石像鬼",N39)),ISNUMBER(SEARCH("恶灵骑士",N39)),ISNUMBER(SEARCH("黑蝙蝠",N39)),ISNUMBER(SEARCH("血月使徒",N39))),"werewolves","villagers"))</f>
      </c>
      <c r="P39" s="0" t="inlineStr">
        <is>
          <t xml:space="preserve"/>
        </is>
      </c>
      <c r="Q39" s="0">
        <f>IF(P39="","",IF(ROUND(P39,2)=5,"win","loss"))</f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>
        <f>IF(C40="","",IFERROR(LOOKUP(2,1/(($C$2:$C$1001=C40)*($Q$2:$Q$1001="win")),$O$2:$O$1001),""))</f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>
        <f>IF(N40="","",IF(OR(ISNUMBER(SEARCH("狼",N40)),ISNUMBER(SEARCH("石像鬼",N40)),ISNUMBER(SEARCH("恶灵骑士",N40)),ISNUMBER(SEARCH("黑蝙蝠",N40)),ISNUMBER(SEARCH("血月使徒",N40))),"werewolves","villagers"))</f>
      </c>
      <c r="P40" s="0" t="inlineStr">
        <is>
          <t xml:space="preserve"/>
        </is>
      </c>
      <c r="Q40" s="0">
        <f>IF(P40="","",IF(ROUND(P40,2)=5,"win","loss"))</f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>
        <f>IF(C41="","",IFERROR(LOOKUP(2,1/(($C$2:$C$1001=C41)*($Q$2:$Q$1001="win")),$O$2:$O$1001),""))</f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>
        <f>IF(N41="","",IF(OR(ISNUMBER(SEARCH("狼",N41)),ISNUMBER(SEARCH("石像鬼",N41)),ISNUMBER(SEARCH("恶灵骑士",N41)),ISNUMBER(SEARCH("黑蝙蝠",N41)),ISNUMBER(SEARCH("血月使徒",N41))),"werewolves","villagers"))</f>
      </c>
      <c r="P41" s="0" t="inlineStr">
        <is>
          <t xml:space="preserve"/>
        </is>
      </c>
      <c r="Q41" s="0">
        <f>IF(P41="","",IF(ROUND(P41,2)=5,"win","loss"))</f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>
        <f>IF(C42="","",IFERROR(LOOKUP(2,1/(($C$2:$C$1001=C42)*($Q$2:$Q$1001="win")),$O$2:$O$1001),""))</f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>
        <f>IF(N42="","",IF(OR(ISNUMBER(SEARCH("狼",N42)),ISNUMBER(SEARCH("石像鬼",N42)),ISNUMBER(SEARCH("恶灵骑士",N42)),ISNUMBER(SEARCH("黑蝙蝠",N42)),ISNUMBER(SEARCH("血月使徒",N42))),"werewolves","villagers"))</f>
      </c>
      <c r="P42" s="0" t="inlineStr">
        <is>
          <t xml:space="preserve"/>
        </is>
      </c>
      <c r="Q42" s="0">
        <f>IF(P42="","",IF(ROUND(P42,2)=5,"win","loss"))</f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>
        <f>IF(C43="","",IFERROR(LOOKUP(2,1/(($C$2:$C$1001=C43)*($Q$2:$Q$1001="win")),$O$2:$O$1001),""))</f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>
        <f>IF(N43="","",IF(OR(ISNUMBER(SEARCH("狼",N43)),ISNUMBER(SEARCH("石像鬼",N43)),ISNUMBER(SEARCH("恶灵骑士",N43)),ISNUMBER(SEARCH("黑蝙蝠",N43)),ISNUMBER(SEARCH("血月使徒",N43))),"werewolves","villagers"))</f>
      </c>
      <c r="P43" s="0" t="inlineStr">
        <is>
          <t xml:space="preserve"/>
        </is>
      </c>
      <c r="Q43" s="0">
        <f>IF(P43="","",IF(ROUND(P43,2)=5,"win","loss"))</f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>
        <f>IF(C44="","",IFERROR(LOOKUP(2,1/(($C$2:$C$1001=C44)*($Q$2:$Q$1001="win")),$O$2:$O$1001),""))</f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>
        <f>IF(N44="","",IF(OR(ISNUMBER(SEARCH("狼",N44)),ISNUMBER(SEARCH("石像鬼",N44)),ISNUMBER(SEARCH("恶灵骑士",N44)),ISNUMBER(SEARCH("黑蝙蝠",N44)),ISNUMBER(SEARCH("血月使徒",N44))),"werewolves","villagers"))</f>
      </c>
      <c r="P44" s="0" t="inlineStr">
        <is>
          <t xml:space="preserve"/>
        </is>
      </c>
      <c r="Q44" s="0">
        <f>IF(P44="","",IF(ROUND(P44,2)=5,"win","loss"))</f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>
        <f>IF(C45="","",IFERROR(LOOKUP(2,1/(($C$2:$C$1001=C45)*($Q$2:$Q$1001="win")),$O$2:$O$1001),""))</f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>
        <f>IF(N45="","",IF(OR(ISNUMBER(SEARCH("狼",N45)),ISNUMBER(SEARCH("石像鬼",N45)),ISNUMBER(SEARCH("恶灵骑士",N45)),ISNUMBER(SEARCH("黑蝙蝠",N45)),ISNUMBER(SEARCH("血月使徒",N45))),"werewolves","villagers"))</f>
      </c>
      <c r="P45" s="0" t="inlineStr">
        <is>
          <t xml:space="preserve"/>
        </is>
      </c>
      <c r="Q45" s="0">
        <f>IF(P45="","",IF(ROUND(P45,2)=5,"win","loss"))</f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>
        <f>IF(C46="","",IFERROR(LOOKUP(2,1/(($C$2:$C$1001=C46)*($Q$2:$Q$1001="win")),$O$2:$O$1001),""))</f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>
        <f>IF(N46="","",IF(OR(ISNUMBER(SEARCH("狼",N46)),ISNUMBER(SEARCH("石像鬼",N46)),ISNUMBER(SEARCH("恶灵骑士",N46)),ISNUMBER(SEARCH("黑蝙蝠",N46)),ISNUMBER(SEARCH("血月使徒",N46))),"werewolves","villagers"))</f>
      </c>
      <c r="P46" s="0" t="inlineStr">
        <is>
          <t xml:space="preserve"/>
        </is>
      </c>
      <c r="Q46" s="0">
        <f>IF(P46="","",IF(ROUND(P46,2)=5,"win","loss"))</f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>
        <f>IF(C47="","",IFERROR(LOOKUP(2,1/(($C$2:$C$1001=C47)*($Q$2:$Q$1001="win")),$O$2:$O$1001),""))</f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>
        <f>IF(N47="","",IF(OR(ISNUMBER(SEARCH("狼",N47)),ISNUMBER(SEARCH("石像鬼",N47)),ISNUMBER(SEARCH("恶灵骑士",N47)),ISNUMBER(SEARCH("黑蝙蝠",N47)),ISNUMBER(SEARCH("血月使徒",N47))),"werewolves","villagers"))</f>
      </c>
      <c r="P47" s="0" t="inlineStr">
        <is>
          <t xml:space="preserve"/>
        </is>
      </c>
      <c r="Q47" s="0">
        <f>IF(P47="","",IF(ROUND(P47,2)=5,"win","loss"))</f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>
        <f>IF(C48="","",IFERROR(LOOKUP(2,1/(($C$2:$C$1001=C48)*($Q$2:$Q$1001="win")),$O$2:$O$1001),""))</f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>
        <f>IF(N48="","",IF(OR(ISNUMBER(SEARCH("狼",N48)),ISNUMBER(SEARCH("石像鬼",N48)),ISNUMBER(SEARCH("恶灵骑士",N48)),ISNUMBER(SEARCH("黑蝙蝠",N48)),ISNUMBER(SEARCH("血月使徒",N48))),"werewolves","villagers"))</f>
      </c>
      <c r="P48" s="0" t="inlineStr">
        <is>
          <t xml:space="preserve"/>
        </is>
      </c>
      <c r="Q48" s="0">
        <f>IF(P48="","",IF(ROUND(P48,2)=5,"win","loss"))</f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>
        <f>IF(C49="","",IFERROR(LOOKUP(2,1/(($C$2:$C$1001=C49)*($Q$2:$Q$1001="win")),$O$2:$O$1001),""))</f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>
        <f>IF(N49="","",IF(OR(ISNUMBER(SEARCH("狼",N49)),ISNUMBER(SEARCH("石像鬼",N49)),ISNUMBER(SEARCH("恶灵骑士",N49)),ISNUMBER(SEARCH("黑蝙蝠",N49)),ISNUMBER(SEARCH("血月使徒",N49))),"werewolves","villagers"))</f>
      </c>
      <c r="P49" s="0" t="inlineStr">
        <is>
          <t xml:space="preserve"/>
        </is>
      </c>
      <c r="Q49" s="0">
        <f>IF(P49="","",IF(ROUND(P49,2)=5,"win","loss"))</f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>
        <f>IF(C50="","",IFERROR(LOOKUP(2,1/(($C$2:$C$1001=C50)*($Q$2:$Q$1001="win")),$O$2:$O$1001),""))</f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>
        <f>IF(N50="","",IF(OR(ISNUMBER(SEARCH("狼",N50)),ISNUMBER(SEARCH("石像鬼",N50)),ISNUMBER(SEARCH("恶灵骑士",N50)),ISNUMBER(SEARCH("黑蝙蝠",N50)),ISNUMBER(SEARCH("血月使徒",N50))),"werewolves","villagers"))</f>
      </c>
      <c r="P50" s="0" t="inlineStr">
        <is>
          <t xml:space="preserve"/>
        </is>
      </c>
      <c r="Q50" s="0">
        <f>IF(P50="","",IF(ROUND(P50,2)=5,"win","loss"))</f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>
        <f>IF(C51="","",IFERROR(LOOKUP(2,1/(($C$2:$C$1001=C51)*($Q$2:$Q$1001="win")),$O$2:$O$1001),""))</f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>
        <f>IF(N51="","",IF(OR(ISNUMBER(SEARCH("狼",N51)),ISNUMBER(SEARCH("石像鬼",N51)),ISNUMBER(SEARCH("恶灵骑士",N51)),ISNUMBER(SEARCH("黑蝙蝠",N51)),ISNUMBER(SEARCH("血月使徒",N51))),"werewolves","villagers"))</f>
      </c>
      <c r="P51" s="0" t="inlineStr">
        <is>
          <t xml:space="preserve"/>
        </is>
      </c>
      <c r="Q51" s="0">
        <f>IF(P51="","",IF(ROUND(P51,2)=5,"win","loss"))</f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>
        <f>IF(C52="","",IFERROR(LOOKUP(2,1/(($C$2:$C$1001=C52)*($Q$2:$Q$1001="win")),$O$2:$O$1001),""))</f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>
        <f>IF(N52="","",IF(OR(ISNUMBER(SEARCH("狼",N52)),ISNUMBER(SEARCH("石像鬼",N52)),ISNUMBER(SEARCH("恶灵骑士",N52)),ISNUMBER(SEARCH("黑蝙蝠",N52)),ISNUMBER(SEARCH("血月使徒",N52))),"werewolves","villagers"))</f>
      </c>
      <c r="P52" s="0" t="inlineStr">
        <is>
          <t xml:space="preserve"/>
        </is>
      </c>
      <c r="Q52" s="0">
        <f>IF(P52="","",IF(ROUND(P52,2)=5,"win","loss"))</f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>
        <f>IF(C53="","",IFERROR(LOOKUP(2,1/(($C$2:$C$1001=C53)*($Q$2:$Q$1001="win")),$O$2:$O$1001),""))</f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>
        <f>IF(N53="","",IF(OR(ISNUMBER(SEARCH("狼",N53)),ISNUMBER(SEARCH("石像鬼",N53)),ISNUMBER(SEARCH("恶灵骑士",N53)),ISNUMBER(SEARCH("黑蝙蝠",N53)),ISNUMBER(SEARCH("血月使徒",N53))),"werewolves","villagers"))</f>
      </c>
      <c r="P53" s="0" t="inlineStr">
        <is>
          <t xml:space="preserve"/>
        </is>
      </c>
      <c r="Q53" s="0">
        <f>IF(P53="","",IF(ROUND(P53,2)=5,"win","loss"))</f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>
        <f>IF(C54="","",IFERROR(LOOKUP(2,1/(($C$2:$C$1001=C54)*($Q$2:$Q$1001="win")),$O$2:$O$1001),""))</f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>
        <f>IF(N54="","",IF(OR(ISNUMBER(SEARCH("狼",N54)),ISNUMBER(SEARCH("石像鬼",N54)),ISNUMBER(SEARCH("恶灵骑士",N54)),ISNUMBER(SEARCH("黑蝙蝠",N54)),ISNUMBER(SEARCH("血月使徒",N54))),"werewolves","villagers"))</f>
      </c>
      <c r="P54" s="0" t="inlineStr">
        <is>
          <t xml:space="preserve"/>
        </is>
      </c>
      <c r="Q54" s="0">
        <f>IF(P54="","",IF(ROUND(P54,2)=5,"win","loss"))</f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>
        <f>IF(C55="","",IFERROR(LOOKUP(2,1/(($C$2:$C$1001=C55)*($Q$2:$Q$1001="win")),$O$2:$O$1001),""))</f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>
        <f>IF(N55="","",IF(OR(ISNUMBER(SEARCH("狼",N55)),ISNUMBER(SEARCH("石像鬼",N55)),ISNUMBER(SEARCH("恶灵骑士",N55)),ISNUMBER(SEARCH("黑蝙蝠",N55)),ISNUMBER(SEARCH("血月使徒",N55))),"werewolves","villagers"))</f>
      </c>
      <c r="P55" s="0" t="inlineStr">
        <is>
          <t xml:space="preserve"/>
        </is>
      </c>
      <c r="Q55" s="0">
        <f>IF(P55="","",IF(ROUND(P55,2)=5,"win","loss"))</f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>
        <f>IF(C56="","",IFERROR(LOOKUP(2,1/(($C$2:$C$1001=C56)*($Q$2:$Q$1001="win")),$O$2:$O$1001),""))</f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>
        <f>IF(N56="","",IF(OR(ISNUMBER(SEARCH("狼",N56)),ISNUMBER(SEARCH("石像鬼",N56)),ISNUMBER(SEARCH("恶灵骑士",N56)),ISNUMBER(SEARCH("黑蝙蝠",N56)),ISNUMBER(SEARCH("血月使徒",N56))),"werewolves","villagers"))</f>
      </c>
      <c r="P56" s="0" t="inlineStr">
        <is>
          <t xml:space="preserve"/>
        </is>
      </c>
      <c r="Q56" s="0">
        <f>IF(P56="","",IF(ROUND(P56,2)=5,"win","loss"))</f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>
        <f>IF(C57="","",IFERROR(LOOKUP(2,1/(($C$2:$C$1001=C57)*($Q$2:$Q$1001="win")),$O$2:$O$1001),""))</f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>
        <f>IF(N57="","",IF(OR(ISNUMBER(SEARCH("狼",N57)),ISNUMBER(SEARCH("石像鬼",N57)),ISNUMBER(SEARCH("恶灵骑士",N57)),ISNUMBER(SEARCH("黑蝙蝠",N57)),ISNUMBER(SEARCH("血月使徒",N57))),"werewolves","villagers"))</f>
      </c>
      <c r="P57" s="0" t="inlineStr">
        <is>
          <t xml:space="preserve"/>
        </is>
      </c>
      <c r="Q57" s="0">
        <f>IF(P57="","",IF(ROUND(P57,2)=5,"win","loss"))</f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>
        <f>IF(C58="","",IFERROR(LOOKUP(2,1/(($C$2:$C$1001=C58)*($Q$2:$Q$1001="win")),$O$2:$O$1001),""))</f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>
        <f>IF(N58="","",IF(OR(ISNUMBER(SEARCH("狼",N58)),ISNUMBER(SEARCH("石像鬼",N58)),ISNUMBER(SEARCH("恶灵骑士",N58)),ISNUMBER(SEARCH("黑蝙蝠",N58)),ISNUMBER(SEARCH("血月使徒",N58))),"werewolves","villagers"))</f>
      </c>
      <c r="P58" s="0" t="inlineStr">
        <is>
          <t xml:space="preserve"/>
        </is>
      </c>
      <c r="Q58" s="0">
        <f>IF(P58="","",IF(ROUND(P58,2)=5,"win","loss"))</f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>
        <f>IF(C59="","",IFERROR(LOOKUP(2,1/(($C$2:$C$1001=C59)*($Q$2:$Q$1001="win")),$O$2:$O$1001),""))</f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>
        <f>IF(N59="","",IF(OR(ISNUMBER(SEARCH("狼",N59)),ISNUMBER(SEARCH("石像鬼",N59)),ISNUMBER(SEARCH("恶灵骑士",N59)),ISNUMBER(SEARCH("黑蝙蝠",N59)),ISNUMBER(SEARCH("血月使徒",N59))),"werewolves","villagers"))</f>
      </c>
      <c r="P59" s="0" t="inlineStr">
        <is>
          <t xml:space="preserve"/>
        </is>
      </c>
      <c r="Q59" s="0">
        <f>IF(P59="","",IF(ROUND(P59,2)=5,"win","loss"))</f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>
        <f>IF(C60="","",IFERROR(LOOKUP(2,1/(($C$2:$C$1001=C60)*($Q$2:$Q$1001="win")),$O$2:$O$1001),""))</f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>
        <f>IF(N60="","",IF(OR(ISNUMBER(SEARCH("狼",N60)),ISNUMBER(SEARCH("石像鬼",N60)),ISNUMBER(SEARCH("恶灵骑士",N60)),ISNUMBER(SEARCH("黑蝙蝠",N60)),ISNUMBER(SEARCH("血月使徒",N60))),"werewolves","villagers"))</f>
      </c>
      <c r="P60" s="0" t="inlineStr">
        <is>
          <t xml:space="preserve"/>
        </is>
      </c>
      <c r="Q60" s="0">
        <f>IF(P60="","",IF(ROUND(P60,2)=5,"win","loss"))</f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>
        <f>IF(C61="","",IFERROR(LOOKUP(2,1/(($C$2:$C$1001=C61)*($Q$2:$Q$1001="win")),$O$2:$O$1001),""))</f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>
        <f>IF(N61="","",IF(OR(ISNUMBER(SEARCH("狼",N61)),ISNUMBER(SEARCH("石像鬼",N61)),ISNUMBER(SEARCH("恶灵骑士",N61)),ISNUMBER(SEARCH("黑蝙蝠",N61)),ISNUMBER(SEARCH("血月使徒",N61))),"werewolves","villagers"))</f>
      </c>
      <c r="P61" s="0" t="inlineStr">
        <is>
          <t xml:space="preserve"/>
        </is>
      </c>
      <c r="Q61" s="0">
        <f>IF(P61="","",IF(ROUND(P61,2)=5,"win","loss"))</f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>
        <f>IF(C62="","",IFERROR(LOOKUP(2,1/(($C$2:$C$1001=C62)*($Q$2:$Q$1001="win")),$O$2:$O$1001),""))</f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>
        <f>IF(N62="","",IF(OR(ISNUMBER(SEARCH("狼",N62)),ISNUMBER(SEARCH("石像鬼",N62)),ISNUMBER(SEARCH("恶灵骑士",N62)),ISNUMBER(SEARCH("黑蝙蝠",N62)),ISNUMBER(SEARCH("血月使徒",N62))),"werewolves","villagers"))</f>
      </c>
      <c r="P62" s="0" t="inlineStr">
        <is>
          <t xml:space="preserve"/>
        </is>
      </c>
      <c r="Q62" s="0">
        <f>IF(P62="","",IF(ROUND(P62,2)=5,"win","loss"))</f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>
        <f>IF(C63="","",IFERROR(LOOKUP(2,1/(($C$2:$C$1001=C63)*($Q$2:$Q$1001="win")),$O$2:$O$1001),""))</f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>
        <f>IF(N63="","",IF(OR(ISNUMBER(SEARCH("狼",N63)),ISNUMBER(SEARCH("石像鬼",N63)),ISNUMBER(SEARCH("恶灵骑士",N63)),ISNUMBER(SEARCH("黑蝙蝠",N63)),ISNUMBER(SEARCH("血月使徒",N63))),"werewolves","villagers"))</f>
      </c>
      <c r="P63" s="0" t="inlineStr">
        <is>
          <t xml:space="preserve"/>
        </is>
      </c>
      <c r="Q63" s="0">
        <f>IF(P63="","",IF(ROUND(P63,2)=5,"win","loss"))</f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>
        <f>IF(C64="","",IFERROR(LOOKUP(2,1/(($C$2:$C$1001=C64)*($Q$2:$Q$1001="win")),$O$2:$O$1001),""))</f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>
        <f>IF(N64="","",IF(OR(ISNUMBER(SEARCH("狼",N64)),ISNUMBER(SEARCH("石像鬼",N64)),ISNUMBER(SEARCH("恶灵骑士",N64)),ISNUMBER(SEARCH("黑蝙蝠",N64)),ISNUMBER(SEARCH("血月使徒",N64))),"werewolves","villagers"))</f>
      </c>
      <c r="P64" s="0" t="inlineStr">
        <is>
          <t xml:space="preserve"/>
        </is>
      </c>
      <c r="Q64" s="0">
        <f>IF(P64="","",IF(ROUND(P64,2)=5,"win","loss"))</f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>
        <f>IF(C65="","",IFERROR(LOOKUP(2,1/(($C$2:$C$1001=C65)*($Q$2:$Q$1001="win")),$O$2:$O$1001),""))</f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>
        <f>IF(N65="","",IF(OR(ISNUMBER(SEARCH("狼",N65)),ISNUMBER(SEARCH("石像鬼",N65)),ISNUMBER(SEARCH("恶灵骑士",N65)),ISNUMBER(SEARCH("黑蝙蝠",N65)),ISNUMBER(SEARCH("血月使徒",N65))),"werewolves","villagers"))</f>
      </c>
      <c r="P65" s="0" t="inlineStr">
        <is>
          <t xml:space="preserve"/>
        </is>
      </c>
      <c r="Q65" s="0">
        <f>IF(P65="","",IF(ROUND(P65,2)=5,"win","loss"))</f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>
        <f>IF(C66="","",IFERROR(LOOKUP(2,1/(($C$2:$C$1001=C66)*($Q$2:$Q$1001="win")),$O$2:$O$1001),""))</f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>
        <f>IF(N66="","",IF(OR(ISNUMBER(SEARCH("狼",N66)),ISNUMBER(SEARCH("石像鬼",N66)),ISNUMBER(SEARCH("恶灵骑士",N66)),ISNUMBER(SEARCH("黑蝙蝠",N66)),ISNUMBER(SEARCH("血月使徒",N66))),"werewolves","villagers"))</f>
      </c>
      <c r="P66" s="0" t="inlineStr">
        <is>
          <t xml:space="preserve"/>
        </is>
      </c>
      <c r="Q66" s="0">
        <f>IF(P66="","",IF(ROUND(P66,2)=5,"win","loss"))</f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>
        <f>IF(C67="","",IFERROR(LOOKUP(2,1/(($C$2:$C$1001=C67)*($Q$2:$Q$1001="win")),$O$2:$O$1001),""))</f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>
        <f>IF(N67="","",IF(OR(ISNUMBER(SEARCH("狼",N67)),ISNUMBER(SEARCH("石像鬼",N67)),ISNUMBER(SEARCH("恶灵骑士",N67)),ISNUMBER(SEARCH("黑蝙蝠",N67)),ISNUMBER(SEARCH("血月使徒",N67))),"werewolves","villagers"))</f>
      </c>
      <c r="P67" s="0" t="inlineStr">
        <is>
          <t xml:space="preserve"/>
        </is>
      </c>
      <c r="Q67" s="0">
        <f>IF(P67="","",IF(ROUND(P67,2)=5,"win","loss"))</f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>
        <f>IF(C68="","",IFERROR(LOOKUP(2,1/(($C$2:$C$1001=C68)*($Q$2:$Q$1001="win")),$O$2:$O$1001),""))</f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>
        <f>IF(N68="","",IF(OR(ISNUMBER(SEARCH("狼",N68)),ISNUMBER(SEARCH("石像鬼",N68)),ISNUMBER(SEARCH("恶灵骑士",N68)),ISNUMBER(SEARCH("黑蝙蝠",N68)),ISNUMBER(SEARCH("血月使徒",N68))),"werewolves","villagers"))</f>
      </c>
      <c r="P68" s="0" t="inlineStr">
        <is>
          <t xml:space="preserve"/>
        </is>
      </c>
      <c r="Q68" s="0">
        <f>IF(P68="","",IF(ROUND(P68,2)=5,"win","loss"))</f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>
        <f>IF(C69="","",IFERROR(LOOKUP(2,1/(($C$2:$C$1001=C69)*($Q$2:$Q$1001="win")),$O$2:$O$1001),""))</f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>
        <f>IF(N69="","",IF(OR(ISNUMBER(SEARCH("狼",N69)),ISNUMBER(SEARCH("石像鬼",N69)),ISNUMBER(SEARCH("恶灵骑士",N69)),ISNUMBER(SEARCH("黑蝙蝠",N69)),ISNUMBER(SEARCH("血月使徒",N69))),"werewolves","villagers"))</f>
      </c>
      <c r="P69" s="0" t="inlineStr">
        <is>
          <t xml:space="preserve"/>
        </is>
      </c>
      <c r="Q69" s="0">
        <f>IF(P69="","",IF(ROUND(P69,2)=5,"win","loss"))</f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>
        <f>IF(C70="","",IFERROR(LOOKUP(2,1/(($C$2:$C$1001=C70)*($Q$2:$Q$1001="win")),$O$2:$O$1001),""))</f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>
        <f>IF(N70="","",IF(OR(ISNUMBER(SEARCH("狼",N70)),ISNUMBER(SEARCH("石像鬼",N70)),ISNUMBER(SEARCH("恶灵骑士",N70)),ISNUMBER(SEARCH("黑蝙蝠",N70)),ISNUMBER(SEARCH("血月使徒",N70))),"werewolves","villagers"))</f>
      </c>
      <c r="P70" s="0" t="inlineStr">
        <is>
          <t xml:space="preserve"/>
        </is>
      </c>
      <c r="Q70" s="0">
        <f>IF(P70="","",IF(ROUND(P70,2)=5,"win","loss"))</f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>
        <f>IF(C71="","",IFERROR(LOOKUP(2,1/(($C$2:$C$1001=C71)*($Q$2:$Q$1001="win")),$O$2:$O$1001),""))</f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>
        <f>IF(N71="","",IF(OR(ISNUMBER(SEARCH("狼",N71)),ISNUMBER(SEARCH("石像鬼",N71)),ISNUMBER(SEARCH("恶灵骑士",N71)),ISNUMBER(SEARCH("黑蝙蝠",N71)),ISNUMBER(SEARCH("血月使徒",N71))),"werewolves","villagers"))</f>
      </c>
      <c r="P71" s="0" t="inlineStr">
        <is>
          <t xml:space="preserve"/>
        </is>
      </c>
      <c r="Q71" s="0">
        <f>IF(P71="","",IF(ROUND(P71,2)=5,"win","loss"))</f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>
        <f>IF(C72="","",IFERROR(LOOKUP(2,1/(($C$2:$C$1001=C72)*($Q$2:$Q$1001="win")),$O$2:$O$1001),""))</f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>
        <f>IF(N72="","",IF(OR(ISNUMBER(SEARCH("狼",N72)),ISNUMBER(SEARCH("石像鬼",N72)),ISNUMBER(SEARCH("恶灵骑士",N72)),ISNUMBER(SEARCH("黑蝙蝠",N72)),ISNUMBER(SEARCH("血月使徒",N72))),"werewolves","villagers"))</f>
      </c>
      <c r="P72" s="0" t="inlineStr">
        <is>
          <t xml:space="preserve"/>
        </is>
      </c>
      <c r="Q72" s="0">
        <f>IF(P72="","",IF(ROUND(P72,2)=5,"win","loss"))</f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>
        <f>IF(C73="","",IFERROR(LOOKUP(2,1/(($C$2:$C$1001=C73)*($Q$2:$Q$1001="win")),$O$2:$O$1001),""))</f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>
        <f>IF(N73="","",IF(OR(ISNUMBER(SEARCH("狼",N73)),ISNUMBER(SEARCH("石像鬼",N73)),ISNUMBER(SEARCH("恶灵骑士",N73)),ISNUMBER(SEARCH("黑蝙蝠",N73)),ISNUMBER(SEARCH("血月使徒",N73))),"werewolves","villagers"))</f>
      </c>
      <c r="P73" s="0" t="inlineStr">
        <is>
          <t xml:space="preserve"/>
        </is>
      </c>
      <c r="Q73" s="0">
        <f>IF(P73="","",IF(ROUND(P73,2)=5,"win","loss"))</f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>
        <f>IF(C74="","",IFERROR(LOOKUP(2,1/(($C$2:$C$1001=C74)*($Q$2:$Q$1001="win")),$O$2:$O$1001),""))</f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>
        <f>IF(N74="","",IF(OR(ISNUMBER(SEARCH("狼",N74)),ISNUMBER(SEARCH("石像鬼",N74)),ISNUMBER(SEARCH("恶灵骑士",N74)),ISNUMBER(SEARCH("黑蝙蝠",N74)),ISNUMBER(SEARCH("血月使徒",N74))),"werewolves","villagers"))</f>
      </c>
      <c r="P74" s="0" t="inlineStr">
        <is>
          <t xml:space="preserve"/>
        </is>
      </c>
      <c r="Q74" s="0">
        <f>IF(P74="","",IF(ROUND(P74,2)=5,"win","loss"))</f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>
        <f>IF(C75="","",IFERROR(LOOKUP(2,1/(($C$2:$C$1001=C75)*($Q$2:$Q$1001="win")),$O$2:$O$1001),""))</f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>
        <f>IF(N75="","",IF(OR(ISNUMBER(SEARCH("狼",N75)),ISNUMBER(SEARCH("石像鬼",N75)),ISNUMBER(SEARCH("恶灵骑士",N75)),ISNUMBER(SEARCH("黑蝙蝠",N75)),ISNUMBER(SEARCH("血月使徒",N75))),"werewolves","villagers"))</f>
      </c>
      <c r="P75" s="0" t="inlineStr">
        <is>
          <t xml:space="preserve"/>
        </is>
      </c>
      <c r="Q75" s="0">
        <f>IF(P75="","",IF(ROUND(P75,2)=5,"win","loss"))</f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>
        <f>IF(C76="","",IFERROR(LOOKUP(2,1/(($C$2:$C$1001=C76)*($Q$2:$Q$1001="win")),$O$2:$O$1001),""))</f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>
        <f>IF(N76="","",IF(OR(ISNUMBER(SEARCH("狼",N76)),ISNUMBER(SEARCH("石像鬼",N76)),ISNUMBER(SEARCH("恶灵骑士",N76)),ISNUMBER(SEARCH("黑蝙蝠",N76)),ISNUMBER(SEARCH("血月使徒",N76))),"werewolves","villagers"))</f>
      </c>
      <c r="P76" s="0" t="inlineStr">
        <is>
          <t xml:space="preserve"/>
        </is>
      </c>
      <c r="Q76" s="0">
        <f>IF(P76="","",IF(ROUND(P76,2)=5,"win","loss"))</f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>
        <f>IF(C77="","",IFERROR(LOOKUP(2,1/(($C$2:$C$1001=C77)*($Q$2:$Q$1001="win")),$O$2:$O$1001),""))</f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>
        <f>IF(N77="","",IF(OR(ISNUMBER(SEARCH("狼",N77)),ISNUMBER(SEARCH("石像鬼",N77)),ISNUMBER(SEARCH("恶灵骑士",N77)),ISNUMBER(SEARCH("黑蝙蝠",N77)),ISNUMBER(SEARCH("血月使徒",N77))),"werewolves","villagers"))</f>
      </c>
      <c r="P77" s="0" t="inlineStr">
        <is>
          <t xml:space="preserve"/>
        </is>
      </c>
      <c r="Q77" s="0">
        <f>IF(P77="","",IF(ROUND(P77,2)=5,"win","loss"))</f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>
        <f>IF(C78="","",IFERROR(LOOKUP(2,1/(($C$2:$C$1001=C78)*($Q$2:$Q$1001="win")),$O$2:$O$1001),""))</f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>
        <f>IF(N78="","",IF(OR(ISNUMBER(SEARCH("狼",N78)),ISNUMBER(SEARCH("石像鬼",N78)),ISNUMBER(SEARCH("恶灵骑士",N78)),ISNUMBER(SEARCH("黑蝙蝠",N78)),ISNUMBER(SEARCH("血月使徒",N78))),"werewolves","villagers"))</f>
      </c>
      <c r="P78" s="0" t="inlineStr">
        <is>
          <t xml:space="preserve"/>
        </is>
      </c>
      <c r="Q78" s="0">
        <f>IF(P78="","",IF(ROUND(P78,2)=5,"win","loss"))</f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>
        <f>IF(C79="","",IFERROR(LOOKUP(2,1/(($C$2:$C$1001=C79)*($Q$2:$Q$1001="win")),$O$2:$O$1001),""))</f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>
        <f>IF(N79="","",IF(OR(ISNUMBER(SEARCH("狼",N79)),ISNUMBER(SEARCH("石像鬼",N79)),ISNUMBER(SEARCH("恶灵骑士",N79)),ISNUMBER(SEARCH("黑蝙蝠",N79)),ISNUMBER(SEARCH("血月使徒",N79))),"werewolves","villagers"))</f>
      </c>
      <c r="P79" s="0" t="inlineStr">
        <is>
          <t xml:space="preserve"/>
        </is>
      </c>
      <c r="Q79" s="0">
        <f>IF(P79="","",IF(ROUND(P79,2)=5,"win","loss"))</f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>
        <f>IF(C80="","",IFERROR(LOOKUP(2,1/(($C$2:$C$1001=C80)*($Q$2:$Q$1001="win")),$O$2:$O$1001),""))</f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>
        <f>IF(N80="","",IF(OR(ISNUMBER(SEARCH("狼",N80)),ISNUMBER(SEARCH("石像鬼",N80)),ISNUMBER(SEARCH("恶灵骑士",N80)),ISNUMBER(SEARCH("黑蝙蝠",N80)),ISNUMBER(SEARCH("血月使徒",N80))),"werewolves","villagers"))</f>
      </c>
      <c r="P80" s="0" t="inlineStr">
        <is>
          <t xml:space="preserve"/>
        </is>
      </c>
      <c r="Q80" s="0">
        <f>IF(P80="","",IF(ROUND(P80,2)=5,"win","loss"))</f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>
        <f>IF(C81="","",IFERROR(LOOKUP(2,1/(($C$2:$C$1001=C81)*($Q$2:$Q$1001="win")),$O$2:$O$1001),""))</f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>
        <f>IF(N81="","",IF(OR(ISNUMBER(SEARCH("狼",N81)),ISNUMBER(SEARCH("石像鬼",N81)),ISNUMBER(SEARCH("恶灵骑士",N81)),ISNUMBER(SEARCH("黑蝙蝠",N81)),ISNUMBER(SEARCH("血月使徒",N81))),"werewolves","villagers"))</f>
      </c>
      <c r="P81" s="0" t="inlineStr">
        <is>
          <t xml:space="preserve"/>
        </is>
      </c>
      <c r="Q81" s="0">
        <f>IF(P81="","",IF(ROUND(P81,2)=5,"win","loss"))</f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>
        <f>IF(C82="","",IFERROR(LOOKUP(2,1/(($C$2:$C$1001=C82)*($Q$2:$Q$1001="win")),$O$2:$O$1001),""))</f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>
        <f>IF(N82="","",IF(OR(ISNUMBER(SEARCH("狼",N82)),ISNUMBER(SEARCH("石像鬼",N82)),ISNUMBER(SEARCH("恶灵骑士",N82)),ISNUMBER(SEARCH("黑蝙蝠",N82)),ISNUMBER(SEARCH("血月使徒",N82))),"werewolves","villagers"))</f>
      </c>
      <c r="P82" s="0" t="inlineStr">
        <is>
          <t xml:space="preserve"/>
        </is>
      </c>
      <c r="Q82" s="0">
        <f>IF(P82="","",IF(ROUND(P82,2)=5,"win","loss"))</f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>
        <f>IF(C83="","",IFERROR(LOOKUP(2,1/(($C$2:$C$1001=C83)*($Q$2:$Q$1001="win")),$O$2:$O$1001),""))</f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>
        <f>IF(N83="","",IF(OR(ISNUMBER(SEARCH("狼",N83)),ISNUMBER(SEARCH("石像鬼",N83)),ISNUMBER(SEARCH("恶灵骑士",N83)),ISNUMBER(SEARCH("黑蝙蝠",N83)),ISNUMBER(SEARCH("血月使徒",N83))),"werewolves","villagers"))</f>
      </c>
      <c r="P83" s="0" t="inlineStr">
        <is>
          <t xml:space="preserve"/>
        </is>
      </c>
      <c r="Q83" s="0">
        <f>IF(P83="","",IF(ROUND(P83,2)=5,"win","loss"))</f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>
        <f>IF(C84="","",IFERROR(LOOKUP(2,1/(($C$2:$C$1001=C84)*($Q$2:$Q$1001="win")),$O$2:$O$1001),""))</f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>
        <f>IF(N84="","",IF(OR(ISNUMBER(SEARCH("狼",N84)),ISNUMBER(SEARCH("石像鬼",N84)),ISNUMBER(SEARCH("恶灵骑士",N84)),ISNUMBER(SEARCH("黑蝙蝠",N84)),ISNUMBER(SEARCH("血月使徒",N84))),"werewolves","villagers"))</f>
      </c>
      <c r="P84" s="0" t="inlineStr">
        <is>
          <t xml:space="preserve"/>
        </is>
      </c>
      <c r="Q84" s="0">
        <f>IF(P84="","",IF(ROUND(P84,2)=5,"win","loss"))</f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>
        <f>IF(C85="","",IFERROR(LOOKUP(2,1/(($C$2:$C$1001=C85)*($Q$2:$Q$1001="win")),$O$2:$O$1001),""))</f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>
        <f>IF(N85="","",IF(OR(ISNUMBER(SEARCH("狼",N85)),ISNUMBER(SEARCH("石像鬼",N85)),ISNUMBER(SEARCH("恶灵骑士",N85)),ISNUMBER(SEARCH("黑蝙蝠",N85)),ISNUMBER(SEARCH("血月使徒",N85))),"werewolves","villagers"))</f>
      </c>
      <c r="P85" s="0" t="inlineStr">
        <is>
          <t xml:space="preserve"/>
        </is>
      </c>
      <c r="Q85" s="0">
        <f>IF(P85="","",IF(ROUND(P85,2)=5,"win","loss"))</f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>
        <f>IF(C86="","",IFERROR(LOOKUP(2,1/(($C$2:$C$1001=C86)*($Q$2:$Q$1001="win")),$O$2:$O$1001),""))</f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>
        <f>IF(N86="","",IF(OR(ISNUMBER(SEARCH("狼",N86)),ISNUMBER(SEARCH("石像鬼",N86)),ISNUMBER(SEARCH("恶灵骑士",N86)),ISNUMBER(SEARCH("黑蝙蝠",N86)),ISNUMBER(SEARCH("血月使徒",N86))),"werewolves","villagers"))</f>
      </c>
      <c r="P86" s="0" t="inlineStr">
        <is>
          <t xml:space="preserve"/>
        </is>
      </c>
      <c r="Q86" s="0">
        <f>IF(P86="","",IF(ROUND(P86,2)=5,"win","loss"))</f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>
        <f>IF(C87="","",IFERROR(LOOKUP(2,1/(($C$2:$C$1001=C87)*($Q$2:$Q$1001="win")),$O$2:$O$1001),""))</f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>
        <f>IF(N87="","",IF(OR(ISNUMBER(SEARCH("狼",N87)),ISNUMBER(SEARCH("石像鬼",N87)),ISNUMBER(SEARCH("恶灵骑士",N87)),ISNUMBER(SEARCH("黑蝙蝠",N87)),ISNUMBER(SEARCH("血月使徒",N87))),"werewolves","villagers"))</f>
      </c>
      <c r="P87" s="0" t="inlineStr">
        <is>
          <t xml:space="preserve"/>
        </is>
      </c>
      <c r="Q87" s="0">
        <f>IF(P87="","",IF(ROUND(P87,2)=5,"win","loss"))</f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>
        <f>IF(C88="","",IFERROR(LOOKUP(2,1/(($C$2:$C$1001=C88)*($Q$2:$Q$1001="win")),$O$2:$O$1001),""))</f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>
        <f>IF(N88="","",IF(OR(ISNUMBER(SEARCH("狼",N88)),ISNUMBER(SEARCH("石像鬼",N88)),ISNUMBER(SEARCH("恶灵骑士",N88)),ISNUMBER(SEARCH("黑蝙蝠",N88)),ISNUMBER(SEARCH("血月使徒",N88))),"werewolves","villagers"))</f>
      </c>
      <c r="P88" s="0" t="inlineStr">
        <is>
          <t xml:space="preserve"/>
        </is>
      </c>
      <c r="Q88" s="0">
        <f>IF(P88="","",IF(ROUND(P88,2)=5,"win","loss"))</f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>
        <f>IF(C89="","",IFERROR(LOOKUP(2,1/(($C$2:$C$1001=C89)*($Q$2:$Q$1001="win")),$O$2:$O$1001),""))</f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>
        <f>IF(N89="","",IF(OR(ISNUMBER(SEARCH("狼",N89)),ISNUMBER(SEARCH("石像鬼",N89)),ISNUMBER(SEARCH("恶灵骑士",N89)),ISNUMBER(SEARCH("黑蝙蝠",N89)),ISNUMBER(SEARCH("血月使徒",N89))),"werewolves","villagers"))</f>
      </c>
      <c r="P89" s="0" t="inlineStr">
        <is>
          <t xml:space="preserve"/>
        </is>
      </c>
      <c r="Q89" s="0">
        <f>IF(P89="","",IF(ROUND(P89,2)=5,"win","loss"))</f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>
        <f>IF(C90="","",IFERROR(LOOKUP(2,1/(($C$2:$C$1001=C90)*($Q$2:$Q$1001="win")),$O$2:$O$1001),""))</f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>
        <f>IF(N90="","",IF(OR(ISNUMBER(SEARCH("狼",N90)),ISNUMBER(SEARCH("石像鬼",N90)),ISNUMBER(SEARCH("恶灵骑士",N90)),ISNUMBER(SEARCH("黑蝙蝠",N90)),ISNUMBER(SEARCH("血月使徒",N90))),"werewolves","villagers"))</f>
      </c>
      <c r="P90" s="0" t="inlineStr">
        <is>
          <t xml:space="preserve"/>
        </is>
      </c>
      <c r="Q90" s="0">
        <f>IF(P90="","",IF(ROUND(P90,2)=5,"win","loss"))</f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>
        <f>IF(C91="","",IFERROR(LOOKUP(2,1/(($C$2:$C$1001=C91)*($Q$2:$Q$1001="win")),$O$2:$O$1001),""))</f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>
        <f>IF(N91="","",IF(OR(ISNUMBER(SEARCH("狼",N91)),ISNUMBER(SEARCH("石像鬼",N91)),ISNUMBER(SEARCH("恶灵骑士",N91)),ISNUMBER(SEARCH("黑蝙蝠",N91)),ISNUMBER(SEARCH("血月使徒",N91))),"werewolves","villagers"))</f>
      </c>
      <c r="P91" s="0" t="inlineStr">
        <is>
          <t xml:space="preserve"/>
        </is>
      </c>
      <c r="Q91" s="0">
        <f>IF(P91="","",IF(ROUND(P91,2)=5,"win","loss"))</f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>
        <f>IF(C92="","",IFERROR(LOOKUP(2,1/(($C$2:$C$1001=C92)*($Q$2:$Q$1001="win")),$O$2:$O$1001),""))</f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>
        <f>IF(N92="","",IF(OR(ISNUMBER(SEARCH("狼",N92)),ISNUMBER(SEARCH("石像鬼",N92)),ISNUMBER(SEARCH("恶灵骑士",N92)),ISNUMBER(SEARCH("黑蝙蝠",N92)),ISNUMBER(SEARCH("血月使徒",N92))),"werewolves","villagers"))</f>
      </c>
      <c r="P92" s="0" t="inlineStr">
        <is>
          <t xml:space="preserve"/>
        </is>
      </c>
      <c r="Q92" s="0">
        <f>IF(P92="","",IF(ROUND(P92,2)=5,"win","loss"))</f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>
        <f>IF(C93="","",IFERROR(LOOKUP(2,1/(($C$2:$C$1001=C93)*($Q$2:$Q$1001="win")),$O$2:$O$1001),""))</f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>
        <f>IF(N93="","",IF(OR(ISNUMBER(SEARCH("狼",N93)),ISNUMBER(SEARCH("石像鬼",N93)),ISNUMBER(SEARCH("恶灵骑士",N93)),ISNUMBER(SEARCH("黑蝙蝠",N93)),ISNUMBER(SEARCH("血月使徒",N93))),"werewolves","villagers"))</f>
      </c>
      <c r="P93" s="0" t="inlineStr">
        <is>
          <t xml:space="preserve"/>
        </is>
      </c>
      <c r="Q93" s="0">
        <f>IF(P93="","",IF(ROUND(P93,2)=5,"win","loss"))</f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>
        <f>IF(C94="","",IFERROR(LOOKUP(2,1/(($C$2:$C$1001=C94)*($Q$2:$Q$1001="win")),$O$2:$O$1001),""))</f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>
        <f>IF(N94="","",IF(OR(ISNUMBER(SEARCH("狼",N94)),ISNUMBER(SEARCH("石像鬼",N94)),ISNUMBER(SEARCH("恶灵骑士",N94)),ISNUMBER(SEARCH("黑蝙蝠",N94)),ISNUMBER(SEARCH("血月使徒",N94))),"werewolves","villagers"))</f>
      </c>
      <c r="P94" s="0" t="inlineStr">
        <is>
          <t xml:space="preserve"/>
        </is>
      </c>
      <c r="Q94" s="0">
        <f>IF(P94="","",IF(ROUND(P94,2)=5,"win","loss"))</f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>
        <f>IF(C95="","",IFERROR(LOOKUP(2,1/(($C$2:$C$1001=C95)*($Q$2:$Q$1001="win")),$O$2:$O$1001),""))</f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>
        <f>IF(N95="","",IF(OR(ISNUMBER(SEARCH("狼",N95)),ISNUMBER(SEARCH("石像鬼",N95)),ISNUMBER(SEARCH("恶灵骑士",N95)),ISNUMBER(SEARCH("黑蝙蝠",N95)),ISNUMBER(SEARCH("血月使徒",N95))),"werewolves","villagers"))</f>
      </c>
      <c r="P95" s="0" t="inlineStr">
        <is>
          <t xml:space="preserve"/>
        </is>
      </c>
      <c r="Q95" s="0">
        <f>IF(P95="","",IF(ROUND(P95,2)=5,"win","loss"))</f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>
        <f>IF(C96="","",IFERROR(LOOKUP(2,1/(($C$2:$C$1001=C96)*($Q$2:$Q$1001="win")),$O$2:$O$1001),""))</f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>
        <f>IF(N96="","",IF(OR(ISNUMBER(SEARCH("狼",N96)),ISNUMBER(SEARCH("石像鬼",N96)),ISNUMBER(SEARCH("恶灵骑士",N96)),ISNUMBER(SEARCH("黑蝙蝠",N96)),ISNUMBER(SEARCH("血月使徒",N96))),"werewolves","villagers"))</f>
      </c>
      <c r="P96" s="0" t="inlineStr">
        <is>
          <t xml:space="preserve"/>
        </is>
      </c>
      <c r="Q96" s="0">
        <f>IF(P96="","",IF(ROUND(P96,2)=5,"win","loss"))</f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>
        <f>IF(C97="","",IFERROR(LOOKUP(2,1/(($C$2:$C$1001=C97)*($Q$2:$Q$1001="win")),$O$2:$O$1001),""))</f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>
        <f>IF(N97="","",IF(OR(ISNUMBER(SEARCH("狼",N97)),ISNUMBER(SEARCH("石像鬼",N97)),ISNUMBER(SEARCH("恶灵骑士",N97)),ISNUMBER(SEARCH("黑蝙蝠",N97)),ISNUMBER(SEARCH("血月使徒",N97))),"werewolves","villagers"))</f>
      </c>
      <c r="P97" s="0" t="inlineStr">
        <is>
          <t xml:space="preserve"/>
        </is>
      </c>
      <c r="Q97" s="0">
        <f>IF(P97="","",IF(ROUND(P97,2)=5,"win","loss"))</f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>
        <f>IF(C98="","",IFERROR(LOOKUP(2,1/(($C$2:$C$1001=C98)*($Q$2:$Q$1001="win")),$O$2:$O$1001),""))</f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>
        <f>IF(N98="","",IF(OR(ISNUMBER(SEARCH("狼",N98)),ISNUMBER(SEARCH("石像鬼",N98)),ISNUMBER(SEARCH("恶灵骑士",N98)),ISNUMBER(SEARCH("黑蝙蝠",N98)),ISNUMBER(SEARCH("血月使徒",N98))),"werewolves","villagers"))</f>
      </c>
      <c r="P98" s="0" t="inlineStr">
        <is>
          <t xml:space="preserve"/>
        </is>
      </c>
      <c r="Q98" s="0">
        <f>IF(P98="","",IF(ROUND(P98,2)=5,"win","loss"))</f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>
        <f>IF(C99="","",IFERROR(LOOKUP(2,1/(($C$2:$C$1001=C99)*($Q$2:$Q$1001="win")),$O$2:$O$1001),""))</f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>
        <f>IF(N99="","",IF(OR(ISNUMBER(SEARCH("狼",N99)),ISNUMBER(SEARCH("石像鬼",N99)),ISNUMBER(SEARCH("恶灵骑士",N99)),ISNUMBER(SEARCH("黑蝙蝠",N99)),ISNUMBER(SEARCH("血月使徒",N99))),"werewolves","villagers"))</f>
      </c>
      <c r="P99" s="0" t="inlineStr">
        <is>
          <t xml:space="preserve"/>
        </is>
      </c>
      <c r="Q99" s="0">
        <f>IF(P99="","",IF(ROUND(P99,2)=5,"win","loss"))</f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>
        <f>IF(C100="","",IFERROR(LOOKUP(2,1/(($C$2:$C$1001=C100)*($Q$2:$Q$1001="win")),$O$2:$O$1001),""))</f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>
        <f>IF(N100="","",IF(OR(ISNUMBER(SEARCH("狼",N100)),ISNUMBER(SEARCH("石像鬼",N100)),ISNUMBER(SEARCH("恶灵骑士",N100)),ISNUMBER(SEARCH("黑蝙蝠",N100)),ISNUMBER(SEARCH("血月使徒",N100))),"werewolves","villagers"))</f>
      </c>
      <c r="P100" s="0" t="inlineStr">
        <is>
          <t xml:space="preserve"/>
        </is>
      </c>
      <c r="Q100" s="0">
        <f>IF(P100="","",IF(ROUND(P100,2)=5,"win","loss"))</f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>
        <f>IF(C101="","",IFERROR(LOOKUP(2,1/(($C$2:$C$1001=C101)*($Q$2:$Q$1001="win")),$O$2:$O$1001),""))</f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>
        <f>IF(N101="","",IF(OR(ISNUMBER(SEARCH("狼",N101)),ISNUMBER(SEARCH("石像鬼",N101)),ISNUMBER(SEARCH("恶灵骑士",N101)),ISNUMBER(SEARCH("黑蝙蝠",N101)),ISNUMBER(SEARCH("血月使徒",N101))),"werewolves","villagers"))</f>
      </c>
      <c r="P101" s="0" t="inlineStr">
        <is>
          <t xml:space="preserve"/>
        </is>
      </c>
      <c r="Q101" s="0">
        <f>IF(P101="","",IF(ROUND(P101,2)=5,"win","loss"))</f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>
        <f>IF(C102="","",IFERROR(LOOKUP(2,1/(($C$2:$C$1001=C102)*($Q$2:$Q$1001="win")),$O$2:$O$1001),""))</f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>
        <f>IF(N102="","",IF(OR(ISNUMBER(SEARCH("狼",N102)),ISNUMBER(SEARCH("石像鬼",N102)),ISNUMBER(SEARCH("恶灵骑士",N102)),ISNUMBER(SEARCH("黑蝙蝠",N102)),ISNUMBER(SEARCH("血月使徒",N102))),"werewolves","villagers"))</f>
      </c>
      <c r="P102" s="0" t="inlineStr">
        <is>
          <t xml:space="preserve"/>
        </is>
      </c>
      <c r="Q102" s="0">
        <f>IF(P102="","",IF(ROUND(P102,2)=5,"win","loss"))</f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>
        <f>IF(C103="","",IFERROR(LOOKUP(2,1/(($C$2:$C$1001=C103)*($Q$2:$Q$1001="win")),$O$2:$O$1001),""))</f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>
        <f>IF(N103="","",IF(OR(ISNUMBER(SEARCH("狼",N103)),ISNUMBER(SEARCH("石像鬼",N103)),ISNUMBER(SEARCH("恶灵骑士",N103)),ISNUMBER(SEARCH("黑蝙蝠",N103)),ISNUMBER(SEARCH("血月使徒",N103))),"werewolves","villagers"))</f>
      </c>
      <c r="P103" s="0" t="inlineStr">
        <is>
          <t xml:space="preserve"/>
        </is>
      </c>
      <c r="Q103" s="0">
        <f>IF(P103="","",IF(ROUND(P103,2)=5,"win","loss"))</f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>
        <f>IF(C104="","",IFERROR(LOOKUP(2,1/(($C$2:$C$1001=C104)*($Q$2:$Q$1001="win")),$O$2:$O$1001),""))</f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>
        <f>IF(N104="","",IF(OR(ISNUMBER(SEARCH("狼",N104)),ISNUMBER(SEARCH("石像鬼",N104)),ISNUMBER(SEARCH("恶灵骑士",N104)),ISNUMBER(SEARCH("黑蝙蝠",N104)),ISNUMBER(SEARCH("血月使徒",N104))),"werewolves","villagers"))</f>
      </c>
      <c r="P104" s="0" t="inlineStr">
        <is>
          <t xml:space="preserve"/>
        </is>
      </c>
      <c r="Q104" s="0">
        <f>IF(P104="","",IF(ROUND(P104,2)=5,"win","loss"))</f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>
        <f>IF(C105="","",IFERROR(LOOKUP(2,1/(($C$2:$C$1001=C105)*($Q$2:$Q$1001="win")),$O$2:$O$1001),""))</f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>
        <f>IF(N105="","",IF(OR(ISNUMBER(SEARCH("狼",N105)),ISNUMBER(SEARCH("石像鬼",N105)),ISNUMBER(SEARCH("恶灵骑士",N105)),ISNUMBER(SEARCH("黑蝙蝠",N105)),ISNUMBER(SEARCH("血月使徒",N105))),"werewolves","villagers"))</f>
      </c>
      <c r="P105" s="0" t="inlineStr">
        <is>
          <t xml:space="preserve"/>
        </is>
      </c>
      <c r="Q105" s="0">
        <f>IF(P105="","",IF(ROUND(P105,2)=5,"win","loss"))</f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>
        <f>IF(C106="","",IFERROR(LOOKUP(2,1/(($C$2:$C$1001=C106)*($Q$2:$Q$1001="win")),$O$2:$O$1001),""))</f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>
        <f>IF(N106="","",IF(OR(ISNUMBER(SEARCH("狼",N106)),ISNUMBER(SEARCH("石像鬼",N106)),ISNUMBER(SEARCH("恶灵骑士",N106)),ISNUMBER(SEARCH("黑蝙蝠",N106)),ISNUMBER(SEARCH("血月使徒",N106))),"werewolves","villagers"))</f>
      </c>
      <c r="P106" s="0" t="inlineStr">
        <is>
          <t xml:space="preserve"/>
        </is>
      </c>
      <c r="Q106" s="0">
        <f>IF(P106="","",IF(ROUND(P106,2)=5,"win","loss"))</f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>
        <f>IF(C107="","",IFERROR(LOOKUP(2,1/(($C$2:$C$1001=C107)*($Q$2:$Q$1001="win")),$O$2:$O$1001),""))</f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>
        <f>IF(N107="","",IF(OR(ISNUMBER(SEARCH("狼",N107)),ISNUMBER(SEARCH("石像鬼",N107)),ISNUMBER(SEARCH("恶灵骑士",N107)),ISNUMBER(SEARCH("黑蝙蝠",N107)),ISNUMBER(SEARCH("血月使徒",N107))),"werewolves","villagers"))</f>
      </c>
      <c r="P107" s="0" t="inlineStr">
        <is>
          <t xml:space="preserve"/>
        </is>
      </c>
      <c r="Q107" s="0">
        <f>IF(P107="","",IF(ROUND(P107,2)=5,"win","loss"))</f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>
        <f>IF(C108="","",IFERROR(LOOKUP(2,1/(($C$2:$C$1001=C108)*($Q$2:$Q$1001="win")),$O$2:$O$1001),""))</f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>
        <f>IF(N108="","",IF(OR(ISNUMBER(SEARCH("狼",N108)),ISNUMBER(SEARCH("石像鬼",N108)),ISNUMBER(SEARCH("恶灵骑士",N108)),ISNUMBER(SEARCH("黑蝙蝠",N108)),ISNUMBER(SEARCH("血月使徒",N108))),"werewolves","villagers"))</f>
      </c>
      <c r="P108" s="0" t="inlineStr">
        <is>
          <t xml:space="preserve"/>
        </is>
      </c>
      <c r="Q108" s="0">
        <f>IF(P108="","",IF(ROUND(P108,2)=5,"win","loss"))</f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>
        <f>IF(C109="","",IFERROR(LOOKUP(2,1/(($C$2:$C$1001=C109)*($Q$2:$Q$1001="win")),$O$2:$O$1001),""))</f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>
        <f>IF(N109="","",IF(OR(ISNUMBER(SEARCH("狼",N109)),ISNUMBER(SEARCH("石像鬼",N109)),ISNUMBER(SEARCH("恶灵骑士",N109)),ISNUMBER(SEARCH("黑蝙蝠",N109)),ISNUMBER(SEARCH("血月使徒",N109))),"werewolves","villagers"))</f>
      </c>
      <c r="P109" s="0" t="inlineStr">
        <is>
          <t xml:space="preserve"/>
        </is>
      </c>
      <c r="Q109" s="0">
        <f>IF(P109="","",IF(ROUND(P109,2)=5,"win","loss"))</f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>
        <f>IF(C110="","",IFERROR(LOOKUP(2,1/(($C$2:$C$1001=C110)*($Q$2:$Q$1001="win")),$O$2:$O$1001),""))</f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>
        <f>IF(N110="","",IF(OR(ISNUMBER(SEARCH("狼",N110)),ISNUMBER(SEARCH("石像鬼",N110)),ISNUMBER(SEARCH("恶灵骑士",N110)),ISNUMBER(SEARCH("黑蝙蝠",N110)),ISNUMBER(SEARCH("血月使徒",N110))),"werewolves","villagers"))</f>
      </c>
      <c r="P110" s="0" t="inlineStr">
        <is>
          <t xml:space="preserve"/>
        </is>
      </c>
      <c r="Q110" s="0">
        <f>IF(P110="","",IF(ROUND(P110,2)=5,"win","loss"))</f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>
        <f>IF(C111="","",IFERROR(LOOKUP(2,1/(($C$2:$C$1001=C111)*($Q$2:$Q$1001="win")),$O$2:$O$1001),""))</f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>
        <f>IF(N111="","",IF(OR(ISNUMBER(SEARCH("狼",N111)),ISNUMBER(SEARCH("石像鬼",N111)),ISNUMBER(SEARCH("恶灵骑士",N111)),ISNUMBER(SEARCH("黑蝙蝠",N111)),ISNUMBER(SEARCH("血月使徒",N111))),"werewolves","villagers"))</f>
      </c>
      <c r="P111" s="0" t="inlineStr">
        <is>
          <t xml:space="preserve"/>
        </is>
      </c>
      <c r="Q111" s="0">
        <f>IF(P111="","",IF(ROUND(P111,2)=5,"win","loss"))</f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>
        <f>IF(C112="","",IFERROR(LOOKUP(2,1/(($C$2:$C$1001=C112)*($Q$2:$Q$1001="win")),$O$2:$O$1001),""))</f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>
        <f>IF(N112="","",IF(OR(ISNUMBER(SEARCH("狼",N112)),ISNUMBER(SEARCH("石像鬼",N112)),ISNUMBER(SEARCH("恶灵骑士",N112)),ISNUMBER(SEARCH("黑蝙蝠",N112)),ISNUMBER(SEARCH("血月使徒",N112))),"werewolves","villagers"))</f>
      </c>
      <c r="P112" s="0" t="inlineStr">
        <is>
          <t xml:space="preserve"/>
        </is>
      </c>
      <c r="Q112" s="0">
        <f>IF(P112="","",IF(ROUND(P112,2)=5,"win","loss"))</f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>
        <f>IF(C113="","",IFERROR(LOOKUP(2,1/(($C$2:$C$1001=C113)*($Q$2:$Q$1001="win")),$O$2:$O$1001),""))</f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>
        <f>IF(N113="","",IF(OR(ISNUMBER(SEARCH("狼",N113)),ISNUMBER(SEARCH("石像鬼",N113)),ISNUMBER(SEARCH("恶灵骑士",N113)),ISNUMBER(SEARCH("黑蝙蝠",N113)),ISNUMBER(SEARCH("血月使徒",N113))),"werewolves","villagers"))</f>
      </c>
      <c r="P113" s="0" t="inlineStr">
        <is>
          <t xml:space="preserve"/>
        </is>
      </c>
      <c r="Q113" s="0">
        <f>IF(P113="","",IF(ROUND(P113,2)=5,"win","loss"))</f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>
        <f>IF(C114="","",IFERROR(LOOKUP(2,1/(($C$2:$C$1001=C114)*($Q$2:$Q$1001="win")),$O$2:$O$1001),""))</f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>
        <f>IF(N114="","",IF(OR(ISNUMBER(SEARCH("狼",N114)),ISNUMBER(SEARCH("石像鬼",N114)),ISNUMBER(SEARCH("恶灵骑士",N114)),ISNUMBER(SEARCH("黑蝙蝠",N114)),ISNUMBER(SEARCH("血月使徒",N114))),"werewolves","villagers"))</f>
      </c>
      <c r="P114" s="0" t="inlineStr">
        <is>
          <t xml:space="preserve"/>
        </is>
      </c>
      <c r="Q114" s="0">
        <f>IF(P114="","",IF(ROUND(P114,2)=5,"win","loss"))</f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>
        <f>IF(C115="","",IFERROR(LOOKUP(2,1/(($C$2:$C$1001=C115)*($Q$2:$Q$1001="win")),$O$2:$O$1001),""))</f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>
        <f>IF(N115="","",IF(OR(ISNUMBER(SEARCH("狼",N115)),ISNUMBER(SEARCH("石像鬼",N115)),ISNUMBER(SEARCH("恶灵骑士",N115)),ISNUMBER(SEARCH("黑蝙蝠",N115)),ISNUMBER(SEARCH("血月使徒",N115))),"werewolves","villagers"))</f>
      </c>
      <c r="P115" s="0" t="inlineStr">
        <is>
          <t xml:space="preserve"/>
        </is>
      </c>
      <c r="Q115" s="0">
        <f>IF(P115="","",IF(ROUND(P115,2)=5,"win","loss"))</f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>
        <f>IF(C116="","",IFERROR(LOOKUP(2,1/(($C$2:$C$1001=C116)*($Q$2:$Q$1001="win")),$O$2:$O$1001),""))</f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>
        <f>IF(N116="","",IF(OR(ISNUMBER(SEARCH("狼",N116)),ISNUMBER(SEARCH("石像鬼",N116)),ISNUMBER(SEARCH("恶灵骑士",N116)),ISNUMBER(SEARCH("黑蝙蝠",N116)),ISNUMBER(SEARCH("血月使徒",N116))),"werewolves","villagers"))</f>
      </c>
      <c r="P116" s="0" t="inlineStr">
        <is>
          <t xml:space="preserve"/>
        </is>
      </c>
      <c r="Q116" s="0">
        <f>IF(P116="","",IF(ROUND(P116,2)=5,"win","loss"))</f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>
        <f>IF(C117="","",IFERROR(LOOKUP(2,1/(($C$2:$C$1001=C117)*($Q$2:$Q$1001="win")),$O$2:$O$1001),""))</f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>
        <f>IF(N117="","",IF(OR(ISNUMBER(SEARCH("狼",N117)),ISNUMBER(SEARCH("石像鬼",N117)),ISNUMBER(SEARCH("恶灵骑士",N117)),ISNUMBER(SEARCH("黑蝙蝠",N117)),ISNUMBER(SEARCH("血月使徒",N117))),"werewolves","villagers"))</f>
      </c>
      <c r="P117" s="0" t="inlineStr">
        <is>
          <t xml:space="preserve"/>
        </is>
      </c>
      <c r="Q117" s="0">
        <f>IF(P117="","",IF(ROUND(P117,2)=5,"win","loss"))</f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>
        <f>IF(C118="","",IFERROR(LOOKUP(2,1/(($C$2:$C$1001=C118)*($Q$2:$Q$1001="win")),$O$2:$O$1001),""))</f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>
        <f>IF(N118="","",IF(OR(ISNUMBER(SEARCH("狼",N118)),ISNUMBER(SEARCH("石像鬼",N118)),ISNUMBER(SEARCH("恶灵骑士",N118)),ISNUMBER(SEARCH("黑蝙蝠",N118)),ISNUMBER(SEARCH("血月使徒",N118))),"werewolves","villagers"))</f>
      </c>
      <c r="P118" s="0" t="inlineStr">
        <is>
          <t xml:space="preserve"/>
        </is>
      </c>
      <c r="Q118" s="0">
        <f>IF(P118="","",IF(ROUND(P118,2)=5,"win","loss"))</f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>
        <f>IF(C119="","",IFERROR(LOOKUP(2,1/(($C$2:$C$1001=C119)*($Q$2:$Q$1001="win")),$O$2:$O$1001),""))</f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>
        <f>IF(N119="","",IF(OR(ISNUMBER(SEARCH("狼",N119)),ISNUMBER(SEARCH("石像鬼",N119)),ISNUMBER(SEARCH("恶灵骑士",N119)),ISNUMBER(SEARCH("黑蝙蝠",N119)),ISNUMBER(SEARCH("血月使徒",N119))),"werewolves","villagers"))</f>
      </c>
      <c r="P119" s="0" t="inlineStr">
        <is>
          <t xml:space="preserve"/>
        </is>
      </c>
      <c r="Q119" s="0">
        <f>IF(P119="","",IF(ROUND(P119,2)=5,"win","loss"))</f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>
        <f>IF(C120="","",IFERROR(LOOKUP(2,1/(($C$2:$C$1001=C120)*($Q$2:$Q$1001="win")),$O$2:$O$1001),""))</f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>
        <f>IF(N120="","",IF(OR(ISNUMBER(SEARCH("狼",N120)),ISNUMBER(SEARCH("石像鬼",N120)),ISNUMBER(SEARCH("恶灵骑士",N120)),ISNUMBER(SEARCH("黑蝙蝠",N120)),ISNUMBER(SEARCH("血月使徒",N120))),"werewolves","villagers"))</f>
      </c>
      <c r="P120" s="0" t="inlineStr">
        <is>
          <t xml:space="preserve"/>
        </is>
      </c>
      <c r="Q120" s="0">
        <f>IF(P120="","",IF(ROUND(P120,2)=5,"win","loss"))</f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>
        <f>IF(C121="","",IFERROR(LOOKUP(2,1/(($C$2:$C$1001=C121)*($Q$2:$Q$1001="win")),$O$2:$O$1001),""))</f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>
        <f>IF(N121="","",IF(OR(ISNUMBER(SEARCH("狼",N121)),ISNUMBER(SEARCH("石像鬼",N121)),ISNUMBER(SEARCH("恶灵骑士",N121)),ISNUMBER(SEARCH("黑蝙蝠",N121)),ISNUMBER(SEARCH("血月使徒",N121))),"werewolves","villagers"))</f>
      </c>
      <c r="P121" s="0" t="inlineStr">
        <is>
          <t xml:space="preserve"/>
        </is>
      </c>
      <c r="Q121" s="0">
        <f>IF(P121="","",IF(ROUND(P121,2)=5,"win","loss"))</f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>
        <f>IF(C122="","",IFERROR(LOOKUP(2,1/(($C$2:$C$1001=C122)*($Q$2:$Q$1001="win")),$O$2:$O$1001),""))</f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>
        <f>IF(N122="","",IF(OR(ISNUMBER(SEARCH("狼",N122)),ISNUMBER(SEARCH("石像鬼",N122)),ISNUMBER(SEARCH("恶灵骑士",N122)),ISNUMBER(SEARCH("黑蝙蝠",N122)),ISNUMBER(SEARCH("血月使徒",N122))),"werewolves","villagers"))</f>
      </c>
      <c r="P122" s="0" t="inlineStr">
        <is>
          <t xml:space="preserve"/>
        </is>
      </c>
      <c r="Q122" s="0">
        <f>IF(P122="","",IF(ROUND(P122,2)=5,"win","loss"))</f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>
        <f>IF(C123="","",IFERROR(LOOKUP(2,1/(($C$2:$C$1001=C123)*($Q$2:$Q$1001="win")),$O$2:$O$1001),""))</f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>
        <f>IF(N123="","",IF(OR(ISNUMBER(SEARCH("狼",N123)),ISNUMBER(SEARCH("石像鬼",N123)),ISNUMBER(SEARCH("恶灵骑士",N123)),ISNUMBER(SEARCH("黑蝙蝠",N123)),ISNUMBER(SEARCH("血月使徒",N123))),"werewolves","villagers"))</f>
      </c>
      <c r="P123" s="0" t="inlineStr">
        <is>
          <t xml:space="preserve"/>
        </is>
      </c>
      <c r="Q123" s="0">
        <f>IF(P123="","",IF(ROUND(P123,2)=5,"win","loss"))</f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>
        <f>IF(C124="","",IFERROR(LOOKUP(2,1/(($C$2:$C$1001=C124)*($Q$2:$Q$1001="win")),$O$2:$O$1001),""))</f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>
        <f>IF(N124="","",IF(OR(ISNUMBER(SEARCH("狼",N124)),ISNUMBER(SEARCH("石像鬼",N124)),ISNUMBER(SEARCH("恶灵骑士",N124)),ISNUMBER(SEARCH("黑蝙蝠",N124)),ISNUMBER(SEARCH("血月使徒",N124))),"werewolves","villagers"))</f>
      </c>
      <c r="P124" s="0" t="inlineStr">
        <is>
          <t xml:space="preserve"/>
        </is>
      </c>
      <c r="Q124" s="0">
        <f>IF(P124="","",IF(ROUND(P124,2)=5,"win","loss"))</f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>
        <f>IF(C125="","",IFERROR(LOOKUP(2,1/(($C$2:$C$1001=C125)*($Q$2:$Q$1001="win")),$O$2:$O$1001),""))</f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>
        <f>IF(N125="","",IF(OR(ISNUMBER(SEARCH("狼",N125)),ISNUMBER(SEARCH("石像鬼",N125)),ISNUMBER(SEARCH("恶灵骑士",N125)),ISNUMBER(SEARCH("黑蝙蝠",N125)),ISNUMBER(SEARCH("血月使徒",N125))),"werewolves","villagers"))</f>
      </c>
      <c r="P125" s="0" t="inlineStr">
        <is>
          <t xml:space="preserve"/>
        </is>
      </c>
      <c r="Q125" s="0">
        <f>IF(P125="","",IF(ROUND(P125,2)=5,"win","loss"))</f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>
        <f>IF(C126="","",IFERROR(LOOKUP(2,1/(($C$2:$C$1001=C126)*($Q$2:$Q$1001="win")),$O$2:$O$1001),""))</f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>
        <f>IF(N126="","",IF(OR(ISNUMBER(SEARCH("狼",N126)),ISNUMBER(SEARCH("石像鬼",N126)),ISNUMBER(SEARCH("恶灵骑士",N126)),ISNUMBER(SEARCH("黑蝙蝠",N126)),ISNUMBER(SEARCH("血月使徒",N126))),"werewolves","villagers"))</f>
      </c>
      <c r="P126" s="0" t="inlineStr">
        <is>
          <t xml:space="preserve"/>
        </is>
      </c>
      <c r="Q126" s="0">
        <f>IF(P126="","",IF(ROUND(P126,2)=5,"win","loss"))</f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>
        <f>IF(C127="","",IFERROR(LOOKUP(2,1/(($C$2:$C$1001=C127)*($Q$2:$Q$1001="win")),$O$2:$O$1001),""))</f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>
        <f>IF(N127="","",IF(OR(ISNUMBER(SEARCH("狼",N127)),ISNUMBER(SEARCH("石像鬼",N127)),ISNUMBER(SEARCH("恶灵骑士",N127)),ISNUMBER(SEARCH("黑蝙蝠",N127)),ISNUMBER(SEARCH("血月使徒",N127))),"werewolves","villagers"))</f>
      </c>
      <c r="P127" s="0" t="inlineStr">
        <is>
          <t xml:space="preserve"/>
        </is>
      </c>
      <c r="Q127" s="0">
        <f>IF(P127="","",IF(ROUND(P127,2)=5,"win","loss"))</f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>
        <f>IF(C128="","",IFERROR(LOOKUP(2,1/(($C$2:$C$1001=C128)*($Q$2:$Q$1001="win")),$O$2:$O$1001),""))</f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>
        <f>IF(N128="","",IF(OR(ISNUMBER(SEARCH("狼",N128)),ISNUMBER(SEARCH("石像鬼",N128)),ISNUMBER(SEARCH("恶灵骑士",N128)),ISNUMBER(SEARCH("黑蝙蝠",N128)),ISNUMBER(SEARCH("血月使徒",N128))),"werewolves","villagers"))</f>
      </c>
      <c r="P128" s="0" t="inlineStr">
        <is>
          <t xml:space="preserve"/>
        </is>
      </c>
      <c r="Q128" s="0">
        <f>IF(P128="","",IF(ROUND(P128,2)=5,"win","loss"))</f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>
        <f>IF(C129="","",IFERROR(LOOKUP(2,1/(($C$2:$C$1001=C129)*($Q$2:$Q$1001="win")),$O$2:$O$1001),""))</f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>
        <f>IF(N129="","",IF(OR(ISNUMBER(SEARCH("狼",N129)),ISNUMBER(SEARCH("石像鬼",N129)),ISNUMBER(SEARCH("恶灵骑士",N129)),ISNUMBER(SEARCH("黑蝙蝠",N129)),ISNUMBER(SEARCH("血月使徒",N129))),"werewolves","villagers"))</f>
      </c>
      <c r="P129" s="0" t="inlineStr">
        <is>
          <t xml:space="preserve"/>
        </is>
      </c>
      <c r="Q129" s="0">
        <f>IF(P129="","",IF(ROUND(P129,2)=5,"win","loss"))</f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>
        <f>IF(C130="","",IFERROR(LOOKUP(2,1/(($C$2:$C$1001=C130)*($Q$2:$Q$1001="win")),$O$2:$O$1001),""))</f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>
        <f>IF(N130="","",IF(OR(ISNUMBER(SEARCH("狼",N130)),ISNUMBER(SEARCH("石像鬼",N130)),ISNUMBER(SEARCH("恶灵骑士",N130)),ISNUMBER(SEARCH("黑蝙蝠",N130)),ISNUMBER(SEARCH("血月使徒",N130))),"werewolves","villagers"))</f>
      </c>
      <c r="P130" s="0" t="inlineStr">
        <is>
          <t xml:space="preserve"/>
        </is>
      </c>
      <c r="Q130" s="0">
        <f>IF(P130="","",IF(ROUND(P130,2)=5,"win","loss"))</f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>
        <f>IF(C131="","",IFERROR(LOOKUP(2,1/(($C$2:$C$1001=C131)*($Q$2:$Q$1001="win")),$O$2:$O$1001),""))</f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>
        <f>IF(N131="","",IF(OR(ISNUMBER(SEARCH("狼",N131)),ISNUMBER(SEARCH("石像鬼",N131)),ISNUMBER(SEARCH("恶灵骑士",N131)),ISNUMBER(SEARCH("黑蝙蝠",N131)),ISNUMBER(SEARCH("血月使徒",N131))),"werewolves","villagers"))</f>
      </c>
      <c r="P131" s="0" t="inlineStr">
        <is>
          <t xml:space="preserve"/>
        </is>
      </c>
      <c r="Q131" s="0">
        <f>IF(P131="","",IF(ROUND(P131,2)=5,"win","loss"))</f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>
        <f>IF(C132="","",IFERROR(LOOKUP(2,1/(($C$2:$C$1001=C132)*($Q$2:$Q$1001="win")),$O$2:$O$1001),""))</f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>
        <f>IF(N132="","",IF(OR(ISNUMBER(SEARCH("狼",N132)),ISNUMBER(SEARCH("石像鬼",N132)),ISNUMBER(SEARCH("恶灵骑士",N132)),ISNUMBER(SEARCH("黑蝙蝠",N132)),ISNUMBER(SEARCH("血月使徒",N132))),"werewolves","villagers"))</f>
      </c>
      <c r="P132" s="0" t="inlineStr">
        <is>
          <t xml:space="preserve"/>
        </is>
      </c>
      <c r="Q132" s="0">
        <f>IF(P132="","",IF(ROUND(P132,2)=5,"win","loss"))</f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>
        <f>IF(C133="","",IFERROR(LOOKUP(2,1/(($C$2:$C$1001=C133)*($Q$2:$Q$1001="win")),$O$2:$O$1001),""))</f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>
        <f>IF(N133="","",IF(OR(ISNUMBER(SEARCH("狼",N133)),ISNUMBER(SEARCH("石像鬼",N133)),ISNUMBER(SEARCH("恶灵骑士",N133)),ISNUMBER(SEARCH("黑蝙蝠",N133)),ISNUMBER(SEARCH("血月使徒",N133))),"werewolves","villagers"))</f>
      </c>
      <c r="P133" s="0" t="inlineStr">
        <is>
          <t xml:space="preserve"/>
        </is>
      </c>
      <c r="Q133" s="0">
        <f>IF(P133="","",IF(ROUND(P133,2)=5,"win","loss"))</f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>
        <f>IF(C134="","",IFERROR(LOOKUP(2,1/(($C$2:$C$1001=C134)*($Q$2:$Q$1001="win")),$O$2:$O$1001),""))</f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>
        <f>IF(N134="","",IF(OR(ISNUMBER(SEARCH("狼",N134)),ISNUMBER(SEARCH("石像鬼",N134)),ISNUMBER(SEARCH("恶灵骑士",N134)),ISNUMBER(SEARCH("黑蝙蝠",N134)),ISNUMBER(SEARCH("血月使徒",N134))),"werewolves","villagers"))</f>
      </c>
      <c r="P134" s="0" t="inlineStr">
        <is>
          <t xml:space="preserve"/>
        </is>
      </c>
      <c r="Q134" s="0">
        <f>IF(P134="","",IF(ROUND(P134,2)=5,"win","loss"))</f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>
        <f>IF(C135="","",IFERROR(LOOKUP(2,1/(($C$2:$C$1001=C135)*($Q$2:$Q$1001="win")),$O$2:$O$1001),""))</f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>
        <f>IF(N135="","",IF(OR(ISNUMBER(SEARCH("狼",N135)),ISNUMBER(SEARCH("石像鬼",N135)),ISNUMBER(SEARCH("恶灵骑士",N135)),ISNUMBER(SEARCH("黑蝙蝠",N135)),ISNUMBER(SEARCH("血月使徒",N135))),"werewolves","villagers"))</f>
      </c>
      <c r="P135" s="0" t="inlineStr">
        <is>
          <t xml:space="preserve"/>
        </is>
      </c>
      <c r="Q135" s="0">
        <f>IF(P135="","",IF(ROUND(P135,2)=5,"win","loss"))</f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>
        <f>IF(C136="","",IFERROR(LOOKUP(2,1/(($C$2:$C$1001=C136)*($Q$2:$Q$1001="win")),$O$2:$O$1001),""))</f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>
        <f>IF(N136="","",IF(OR(ISNUMBER(SEARCH("狼",N136)),ISNUMBER(SEARCH("石像鬼",N136)),ISNUMBER(SEARCH("恶灵骑士",N136)),ISNUMBER(SEARCH("黑蝙蝠",N136)),ISNUMBER(SEARCH("血月使徒",N136))),"werewolves","villagers"))</f>
      </c>
      <c r="P136" s="0" t="inlineStr">
        <is>
          <t xml:space="preserve"/>
        </is>
      </c>
      <c r="Q136" s="0">
        <f>IF(P136="","",IF(ROUND(P136,2)=5,"win","loss"))</f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>
        <f>IF(C137="","",IFERROR(LOOKUP(2,1/(($C$2:$C$1001=C137)*($Q$2:$Q$1001="win")),$O$2:$O$1001),""))</f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>
        <f>IF(N137="","",IF(OR(ISNUMBER(SEARCH("狼",N137)),ISNUMBER(SEARCH("石像鬼",N137)),ISNUMBER(SEARCH("恶灵骑士",N137)),ISNUMBER(SEARCH("黑蝙蝠",N137)),ISNUMBER(SEARCH("血月使徒",N137))),"werewolves","villagers"))</f>
      </c>
      <c r="P137" s="0" t="inlineStr">
        <is>
          <t xml:space="preserve"/>
        </is>
      </c>
      <c r="Q137" s="0">
        <f>IF(P137="","",IF(ROUND(P137,2)=5,"win","loss"))</f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>
        <f>IF(C138="","",IFERROR(LOOKUP(2,1/(($C$2:$C$1001=C138)*($Q$2:$Q$1001="win")),$O$2:$O$1001),""))</f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>
        <f>IF(N138="","",IF(OR(ISNUMBER(SEARCH("狼",N138)),ISNUMBER(SEARCH("石像鬼",N138)),ISNUMBER(SEARCH("恶灵骑士",N138)),ISNUMBER(SEARCH("黑蝙蝠",N138)),ISNUMBER(SEARCH("血月使徒",N138))),"werewolves","villagers"))</f>
      </c>
      <c r="P138" s="0" t="inlineStr">
        <is>
          <t xml:space="preserve"/>
        </is>
      </c>
      <c r="Q138" s="0">
        <f>IF(P138="","",IF(ROUND(P138,2)=5,"win","loss"))</f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>
        <f>IF(C139="","",IFERROR(LOOKUP(2,1/(($C$2:$C$1001=C139)*($Q$2:$Q$1001="win")),$O$2:$O$1001),""))</f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>
        <f>IF(N139="","",IF(OR(ISNUMBER(SEARCH("狼",N139)),ISNUMBER(SEARCH("石像鬼",N139)),ISNUMBER(SEARCH("恶灵骑士",N139)),ISNUMBER(SEARCH("黑蝙蝠",N139)),ISNUMBER(SEARCH("血月使徒",N139))),"werewolves","villagers"))</f>
      </c>
      <c r="P139" s="0" t="inlineStr">
        <is>
          <t xml:space="preserve"/>
        </is>
      </c>
      <c r="Q139" s="0">
        <f>IF(P139="","",IF(ROUND(P139,2)=5,"win","loss"))</f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>
        <f>IF(C140="","",IFERROR(LOOKUP(2,1/(($C$2:$C$1001=C140)*($Q$2:$Q$1001="win")),$O$2:$O$1001),""))</f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>
        <f>IF(N140="","",IF(OR(ISNUMBER(SEARCH("狼",N140)),ISNUMBER(SEARCH("石像鬼",N140)),ISNUMBER(SEARCH("恶灵骑士",N140)),ISNUMBER(SEARCH("黑蝙蝠",N140)),ISNUMBER(SEARCH("血月使徒",N140))),"werewolves","villagers"))</f>
      </c>
      <c r="P140" s="0" t="inlineStr">
        <is>
          <t xml:space="preserve"/>
        </is>
      </c>
      <c r="Q140" s="0">
        <f>IF(P140="","",IF(ROUND(P140,2)=5,"win","loss"))</f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>
        <f>IF(C141="","",IFERROR(LOOKUP(2,1/(($C$2:$C$1001=C141)*($Q$2:$Q$1001="win")),$O$2:$O$1001),""))</f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>
        <f>IF(N141="","",IF(OR(ISNUMBER(SEARCH("狼",N141)),ISNUMBER(SEARCH("石像鬼",N141)),ISNUMBER(SEARCH("恶灵骑士",N141)),ISNUMBER(SEARCH("黑蝙蝠",N141)),ISNUMBER(SEARCH("血月使徒",N141))),"werewolves","villagers"))</f>
      </c>
      <c r="P141" s="0" t="inlineStr">
        <is>
          <t xml:space="preserve"/>
        </is>
      </c>
      <c r="Q141" s="0">
        <f>IF(P141="","",IF(ROUND(P141,2)=5,"win","loss"))</f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>
        <f>IF(C142="","",IFERROR(LOOKUP(2,1/(($C$2:$C$1001=C142)*($Q$2:$Q$1001="win")),$O$2:$O$1001),""))</f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>
        <f>IF(N142="","",IF(OR(ISNUMBER(SEARCH("狼",N142)),ISNUMBER(SEARCH("石像鬼",N142)),ISNUMBER(SEARCH("恶灵骑士",N142)),ISNUMBER(SEARCH("黑蝙蝠",N142)),ISNUMBER(SEARCH("血月使徒",N142))),"werewolves","villagers"))</f>
      </c>
      <c r="P142" s="0" t="inlineStr">
        <is>
          <t xml:space="preserve"/>
        </is>
      </c>
      <c r="Q142" s="0">
        <f>IF(P142="","",IF(ROUND(P142,2)=5,"win","loss"))</f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>
        <f>IF(C143="","",IFERROR(LOOKUP(2,1/(($C$2:$C$1001=C143)*($Q$2:$Q$1001="win")),$O$2:$O$1001),""))</f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>
        <f>IF(N143="","",IF(OR(ISNUMBER(SEARCH("狼",N143)),ISNUMBER(SEARCH("石像鬼",N143)),ISNUMBER(SEARCH("恶灵骑士",N143)),ISNUMBER(SEARCH("黑蝙蝠",N143)),ISNUMBER(SEARCH("血月使徒",N143))),"werewolves","villagers"))</f>
      </c>
      <c r="P143" s="0" t="inlineStr">
        <is>
          <t xml:space="preserve"/>
        </is>
      </c>
      <c r="Q143" s="0">
        <f>IF(P143="","",IF(ROUND(P143,2)=5,"win","loss"))</f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>
        <f>IF(C144="","",IFERROR(LOOKUP(2,1/(($C$2:$C$1001=C144)*($Q$2:$Q$1001="win")),$O$2:$O$1001),""))</f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>
        <f>IF(N144="","",IF(OR(ISNUMBER(SEARCH("狼",N144)),ISNUMBER(SEARCH("石像鬼",N144)),ISNUMBER(SEARCH("恶灵骑士",N144)),ISNUMBER(SEARCH("黑蝙蝠",N144)),ISNUMBER(SEARCH("血月使徒",N144))),"werewolves","villagers"))</f>
      </c>
      <c r="P144" s="0" t="inlineStr">
        <is>
          <t xml:space="preserve"/>
        </is>
      </c>
      <c r="Q144" s="0">
        <f>IF(P144="","",IF(ROUND(P144,2)=5,"win","loss"))</f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>
        <f>IF(C145="","",IFERROR(LOOKUP(2,1/(($C$2:$C$1001=C145)*($Q$2:$Q$1001="win")),$O$2:$O$1001),""))</f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>
        <f>IF(N145="","",IF(OR(ISNUMBER(SEARCH("狼",N145)),ISNUMBER(SEARCH("石像鬼",N145)),ISNUMBER(SEARCH("恶灵骑士",N145)),ISNUMBER(SEARCH("黑蝙蝠",N145)),ISNUMBER(SEARCH("血月使徒",N145))),"werewolves","villagers"))</f>
      </c>
      <c r="P145" s="0" t="inlineStr">
        <is>
          <t xml:space="preserve"/>
        </is>
      </c>
      <c r="Q145" s="0">
        <f>IF(P145="","",IF(ROUND(P145,2)=5,"win","loss"))</f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>
        <f>IF(C146="","",IFERROR(LOOKUP(2,1/(($C$2:$C$1001=C146)*($Q$2:$Q$1001="win")),$O$2:$O$1001),""))</f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>
        <f>IF(N146="","",IF(OR(ISNUMBER(SEARCH("狼",N146)),ISNUMBER(SEARCH("石像鬼",N146)),ISNUMBER(SEARCH("恶灵骑士",N146)),ISNUMBER(SEARCH("黑蝙蝠",N146)),ISNUMBER(SEARCH("血月使徒",N146))),"werewolves","villagers"))</f>
      </c>
      <c r="P146" s="0" t="inlineStr">
        <is>
          <t xml:space="preserve"/>
        </is>
      </c>
      <c r="Q146" s="0">
        <f>IF(P146="","",IF(ROUND(P146,2)=5,"win","loss"))</f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>
        <f>IF(C147="","",IFERROR(LOOKUP(2,1/(($C$2:$C$1001=C147)*($Q$2:$Q$1001="win")),$O$2:$O$1001),""))</f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>
        <f>IF(N147="","",IF(OR(ISNUMBER(SEARCH("狼",N147)),ISNUMBER(SEARCH("石像鬼",N147)),ISNUMBER(SEARCH("恶灵骑士",N147)),ISNUMBER(SEARCH("黑蝙蝠",N147)),ISNUMBER(SEARCH("血月使徒",N147))),"werewolves","villagers"))</f>
      </c>
      <c r="P147" s="0" t="inlineStr">
        <is>
          <t xml:space="preserve"/>
        </is>
      </c>
      <c r="Q147" s="0">
        <f>IF(P147="","",IF(ROUND(P147,2)=5,"win","loss"))</f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>
        <f>IF(C148="","",IFERROR(LOOKUP(2,1/(($C$2:$C$1001=C148)*($Q$2:$Q$1001="win")),$O$2:$O$1001),""))</f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>
        <f>IF(N148="","",IF(OR(ISNUMBER(SEARCH("狼",N148)),ISNUMBER(SEARCH("石像鬼",N148)),ISNUMBER(SEARCH("恶灵骑士",N148)),ISNUMBER(SEARCH("黑蝙蝠",N148)),ISNUMBER(SEARCH("血月使徒",N148))),"werewolves","villagers"))</f>
      </c>
      <c r="P148" s="0" t="inlineStr">
        <is>
          <t xml:space="preserve"/>
        </is>
      </c>
      <c r="Q148" s="0">
        <f>IF(P148="","",IF(ROUND(P148,2)=5,"win","loss"))</f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>
        <f>IF(C149="","",IFERROR(LOOKUP(2,1/(($C$2:$C$1001=C149)*($Q$2:$Q$1001="win")),$O$2:$O$1001),""))</f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>
        <f>IF(N149="","",IF(OR(ISNUMBER(SEARCH("狼",N149)),ISNUMBER(SEARCH("石像鬼",N149)),ISNUMBER(SEARCH("恶灵骑士",N149)),ISNUMBER(SEARCH("黑蝙蝠",N149)),ISNUMBER(SEARCH("血月使徒",N149))),"werewolves","villagers"))</f>
      </c>
      <c r="P149" s="0" t="inlineStr">
        <is>
          <t xml:space="preserve"/>
        </is>
      </c>
      <c r="Q149" s="0">
        <f>IF(P149="","",IF(ROUND(P149,2)=5,"win","loss"))</f>
      </c>
      <c r="R149" s="0" t="inlineStr">
        <is>
          <t xml:space="preserve"/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>
        <f>IF(C150="","",IFERROR(LOOKUP(2,1/(($C$2:$C$1001=C150)*($Q$2:$Q$1001="win")),$O$2:$O$1001),""))</f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>
        <f>IF(N150="","",IF(OR(ISNUMBER(SEARCH("狼",N150)),ISNUMBER(SEARCH("石像鬼",N150)),ISNUMBER(SEARCH("恶灵骑士",N150)),ISNUMBER(SEARCH("黑蝙蝠",N150)),ISNUMBER(SEARCH("血月使徒",N150))),"werewolves","villagers"))</f>
      </c>
      <c r="P150" s="0" t="inlineStr">
        <is>
          <t xml:space="preserve"/>
        </is>
      </c>
      <c r="Q150" s="0">
        <f>IF(P150="","",IF(ROUND(P150,2)=5,"win","loss"))</f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>
        <f>IF(C151="","",IFERROR(LOOKUP(2,1/(($C$2:$C$1001=C151)*($Q$2:$Q$1001="win")),$O$2:$O$1001),""))</f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>
        <f>IF(N151="","",IF(OR(ISNUMBER(SEARCH("狼",N151)),ISNUMBER(SEARCH("石像鬼",N151)),ISNUMBER(SEARCH("恶灵骑士",N151)),ISNUMBER(SEARCH("黑蝙蝠",N151)),ISNUMBER(SEARCH("血月使徒",N151))),"werewolves","villagers"))</f>
      </c>
      <c r="P151" s="0" t="inlineStr">
        <is>
          <t xml:space="preserve"/>
        </is>
      </c>
      <c r="Q151" s="0">
        <f>IF(P151="","",IF(ROUND(P151,2)=5,"win","loss"))</f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>
        <f>IF(C152="","",IFERROR(LOOKUP(2,1/(($C$2:$C$1001=C152)*($Q$2:$Q$1001="win")),$O$2:$O$1001),""))</f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>
        <f>IF(N152="","",IF(OR(ISNUMBER(SEARCH("狼",N152)),ISNUMBER(SEARCH("石像鬼",N152)),ISNUMBER(SEARCH("恶灵骑士",N152)),ISNUMBER(SEARCH("黑蝙蝠",N152)),ISNUMBER(SEARCH("血月使徒",N152))),"werewolves","villagers"))</f>
      </c>
      <c r="P152" s="0" t="inlineStr">
        <is>
          <t xml:space="preserve"/>
        </is>
      </c>
      <c r="Q152" s="0">
        <f>IF(P152="","",IF(ROUND(P152,2)=5,"win","loss"))</f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>
        <f>IF(C153="","",IFERROR(LOOKUP(2,1/(($C$2:$C$1001=C153)*($Q$2:$Q$1001="win")),$O$2:$O$1001),""))</f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>
        <f>IF(N153="","",IF(OR(ISNUMBER(SEARCH("狼",N153)),ISNUMBER(SEARCH("石像鬼",N153)),ISNUMBER(SEARCH("恶灵骑士",N153)),ISNUMBER(SEARCH("黑蝙蝠",N153)),ISNUMBER(SEARCH("血月使徒",N153))),"werewolves","villagers"))</f>
      </c>
      <c r="P153" s="0" t="inlineStr">
        <is>
          <t xml:space="preserve"/>
        </is>
      </c>
      <c r="Q153" s="0">
        <f>IF(P153="","",IF(ROUND(P153,2)=5,"win","loss"))</f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>
        <f>IF(C154="","",IFERROR(LOOKUP(2,1/(($C$2:$C$1001=C154)*($Q$2:$Q$1001="win")),$O$2:$O$1001),""))</f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>
        <f>IF(N154="","",IF(OR(ISNUMBER(SEARCH("狼",N154)),ISNUMBER(SEARCH("石像鬼",N154)),ISNUMBER(SEARCH("恶灵骑士",N154)),ISNUMBER(SEARCH("黑蝙蝠",N154)),ISNUMBER(SEARCH("血月使徒",N154))),"werewolves","villagers"))</f>
      </c>
      <c r="P154" s="0" t="inlineStr">
        <is>
          <t xml:space="preserve"/>
        </is>
      </c>
      <c r="Q154" s="0">
        <f>IF(P154="","",IF(ROUND(P154,2)=5,"win","loss"))</f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>
        <f>IF(C155="","",IFERROR(LOOKUP(2,1/(($C$2:$C$1001=C155)*($Q$2:$Q$1001="win")),$O$2:$O$1001),""))</f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>
        <f>IF(N155="","",IF(OR(ISNUMBER(SEARCH("狼",N155)),ISNUMBER(SEARCH("石像鬼",N155)),ISNUMBER(SEARCH("恶灵骑士",N155)),ISNUMBER(SEARCH("黑蝙蝠",N155)),ISNUMBER(SEARCH("血月使徒",N155))),"werewolves","villagers"))</f>
      </c>
      <c r="P155" s="0" t="inlineStr">
        <is>
          <t xml:space="preserve"/>
        </is>
      </c>
      <c r="Q155" s="0">
        <f>IF(P155="","",IF(ROUND(P155,2)=5,"win","loss"))</f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>
        <f>IF(C156="","",IFERROR(LOOKUP(2,1/(($C$2:$C$1001=C156)*($Q$2:$Q$1001="win")),$O$2:$O$1001),""))</f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>
        <f>IF(N156="","",IF(OR(ISNUMBER(SEARCH("狼",N156)),ISNUMBER(SEARCH("石像鬼",N156)),ISNUMBER(SEARCH("恶灵骑士",N156)),ISNUMBER(SEARCH("黑蝙蝠",N156)),ISNUMBER(SEARCH("血月使徒",N156))),"werewolves","villagers"))</f>
      </c>
      <c r="P156" s="0" t="inlineStr">
        <is>
          <t xml:space="preserve"/>
        </is>
      </c>
      <c r="Q156" s="0">
        <f>IF(P156="","",IF(ROUND(P156,2)=5,"win","loss"))</f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>
        <f>IF(C157="","",IFERROR(LOOKUP(2,1/(($C$2:$C$1001=C157)*($Q$2:$Q$1001="win")),$O$2:$O$1001),""))</f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>
        <f>IF(N157="","",IF(OR(ISNUMBER(SEARCH("狼",N157)),ISNUMBER(SEARCH("石像鬼",N157)),ISNUMBER(SEARCH("恶灵骑士",N157)),ISNUMBER(SEARCH("黑蝙蝠",N157)),ISNUMBER(SEARCH("血月使徒",N157))),"werewolves","villagers"))</f>
      </c>
      <c r="P157" s="0" t="inlineStr">
        <is>
          <t xml:space="preserve"/>
        </is>
      </c>
      <c r="Q157" s="0">
        <f>IF(P157="","",IF(ROUND(P157,2)=5,"win","loss"))</f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>
        <f>IF(C158="","",IFERROR(LOOKUP(2,1/(($C$2:$C$1001=C158)*($Q$2:$Q$1001="win")),$O$2:$O$1001),""))</f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>
        <f>IF(N158="","",IF(OR(ISNUMBER(SEARCH("狼",N158)),ISNUMBER(SEARCH("石像鬼",N158)),ISNUMBER(SEARCH("恶灵骑士",N158)),ISNUMBER(SEARCH("黑蝙蝠",N158)),ISNUMBER(SEARCH("血月使徒",N158))),"werewolves","villagers"))</f>
      </c>
      <c r="P158" s="0" t="inlineStr">
        <is>
          <t xml:space="preserve"/>
        </is>
      </c>
      <c r="Q158" s="0">
        <f>IF(P158="","",IF(ROUND(P158,2)=5,"win","loss"))</f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>
        <f>IF(C159="","",IFERROR(LOOKUP(2,1/(($C$2:$C$1001=C159)*($Q$2:$Q$1001="win")),$O$2:$O$1001),""))</f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>
        <f>IF(N159="","",IF(OR(ISNUMBER(SEARCH("狼",N159)),ISNUMBER(SEARCH("石像鬼",N159)),ISNUMBER(SEARCH("恶灵骑士",N159)),ISNUMBER(SEARCH("黑蝙蝠",N159)),ISNUMBER(SEARCH("血月使徒",N159))),"werewolves","villagers"))</f>
      </c>
      <c r="P159" s="0" t="inlineStr">
        <is>
          <t xml:space="preserve"/>
        </is>
      </c>
      <c r="Q159" s="0">
        <f>IF(P159="","",IF(ROUND(P159,2)=5,"win","loss"))</f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>
        <f>IF(C160="","",IFERROR(LOOKUP(2,1/(($C$2:$C$1001=C160)*($Q$2:$Q$1001="win")),$O$2:$O$1001),""))</f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>
        <f>IF(N160="","",IF(OR(ISNUMBER(SEARCH("狼",N160)),ISNUMBER(SEARCH("石像鬼",N160)),ISNUMBER(SEARCH("恶灵骑士",N160)),ISNUMBER(SEARCH("黑蝙蝠",N160)),ISNUMBER(SEARCH("血月使徒",N160))),"werewolves","villagers"))</f>
      </c>
      <c r="P160" s="0" t="inlineStr">
        <is>
          <t xml:space="preserve"/>
        </is>
      </c>
      <c r="Q160" s="0">
        <f>IF(P160="","",IF(ROUND(P160,2)=5,"win","loss"))</f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>
        <f>IF(C161="","",IFERROR(LOOKUP(2,1/(($C$2:$C$1001=C161)*($Q$2:$Q$1001="win")),$O$2:$O$1001),""))</f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>
        <f>IF(N161="","",IF(OR(ISNUMBER(SEARCH("狼",N161)),ISNUMBER(SEARCH("石像鬼",N161)),ISNUMBER(SEARCH("恶灵骑士",N161)),ISNUMBER(SEARCH("黑蝙蝠",N161)),ISNUMBER(SEARCH("血月使徒",N161))),"werewolves","villagers"))</f>
      </c>
      <c r="P161" s="0" t="inlineStr">
        <is>
          <t xml:space="preserve"/>
        </is>
      </c>
      <c r="Q161" s="0">
        <f>IF(P161="","",IF(ROUND(P161,2)=5,"win","loss"))</f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>
        <f>IF(C162="","",IFERROR(LOOKUP(2,1/(($C$2:$C$1001=C162)*($Q$2:$Q$1001="win")),$O$2:$O$1001),""))</f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>
        <f>IF(N162="","",IF(OR(ISNUMBER(SEARCH("狼",N162)),ISNUMBER(SEARCH("石像鬼",N162)),ISNUMBER(SEARCH("恶灵骑士",N162)),ISNUMBER(SEARCH("黑蝙蝠",N162)),ISNUMBER(SEARCH("血月使徒",N162))),"werewolves","villagers"))</f>
      </c>
      <c r="P162" s="0" t="inlineStr">
        <is>
          <t xml:space="preserve"/>
        </is>
      </c>
      <c r="Q162" s="0">
        <f>IF(P162="","",IF(ROUND(P162,2)=5,"win","loss"))</f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>
        <f>IF(C163="","",IFERROR(LOOKUP(2,1/(($C$2:$C$1001=C163)*($Q$2:$Q$1001="win")),$O$2:$O$1001),""))</f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>
        <f>IF(N163="","",IF(OR(ISNUMBER(SEARCH("狼",N163)),ISNUMBER(SEARCH("石像鬼",N163)),ISNUMBER(SEARCH("恶灵骑士",N163)),ISNUMBER(SEARCH("黑蝙蝠",N163)),ISNUMBER(SEARCH("血月使徒",N163))),"werewolves","villagers"))</f>
      </c>
      <c r="P163" s="0" t="inlineStr">
        <is>
          <t xml:space="preserve"/>
        </is>
      </c>
      <c r="Q163" s="0">
        <f>IF(P163="","",IF(ROUND(P163,2)=5,"win","loss"))</f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>
        <f>IF(C164="","",IFERROR(LOOKUP(2,1/(($C$2:$C$1001=C164)*($Q$2:$Q$1001="win")),$O$2:$O$1001),""))</f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>
        <f>IF(N164="","",IF(OR(ISNUMBER(SEARCH("狼",N164)),ISNUMBER(SEARCH("石像鬼",N164)),ISNUMBER(SEARCH("恶灵骑士",N164)),ISNUMBER(SEARCH("黑蝙蝠",N164)),ISNUMBER(SEARCH("血月使徒",N164))),"werewolves","villagers"))</f>
      </c>
      <c r="P164" s="0" t="inlineStr">
        <is>
          <t xml:space="preserve"/>
        </is>
      </c>
      <c r="Q164" s="0">
        <f>IF(P164="","",IF(ROUND(P164,2)=5,"win","loss"))</f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>
        <f>IF(C165="","",IFERROR(LOOKUP(2,1/(($C$2:$C$1001=C165)*($Q$2:$Q$1001="win")),$O$2:$O$1001),""))</f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>
        <f>IF(N165="","",IF(OR(ISNUMBER(SEARCH("狼",N165)),ISNUMBER(SEARCH("石像鬼",N165)),ISNUMBER(SEARCH("恶灵骑士",N165)),ISNUMBER(SEARCH("黑蝙蝠",N165)),ISNUMBER(SEARCH("血月使徒",N165))),"werewolves","villagers"))</f>
      </c>
      <c r="P165" s="0" t="inlineStr">
        <is>
          <t xml:space="preserve"/>
        </is>
      </c>
      <c r="Q165" s="0">
        <f>IF(P165="","",IF(ROUND(P165,2)=5,"win","loss"))</f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>
        <f>IF(C166="","",IFERROR(LOOKUP(2,1/(($C$2:$C$1001=C166)*($Q$2:$Q$1001="win")),$O$2:$O$1001),""))</f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>
        <f>IF(N166="","",IF(OR(ISNUMBER(SEARCH("狼",N166)),ISNUMBER(SEARCH("石像鬼",N166)),ISNUMBER(SEARCH("恶灵骑士",N166)),ISNUMBER(SEARCH("黑蝙蝠",N166)),ISNUMBER(SEARCH("血月使徒",N166))),"werewolves","villagers"))</f>
      </c>
      <c r="P166" s="0" t="inlineStr">
        <is>
          <t xml:space="preserve"/>
        </is>
      </c>
      <c r="Q166" s="0">
        <f>IF(P166="","",IF(ROUND(P166,2)=5,"win","loss"))</f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>
        <f>IF(C167="","",IFERROR(LOOKUP(2,1/(($C$2:$C$1001=C167)*($Q$2:$Q$1001="win")),$O$2:$O$1001),""))</f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>
        <f>IF(N167="","",IF(OR(ISNUMBER(SEARCH("狼",N167)),ISNUMBER(SEARCH("石像鬼",N167)),ISNUMBER(SEARCH("恶灵骑士",N167)),ISNUMBER(SEARCH("黑蝙蝠",N167)),ISNUMBER(SEARCH("血月使徒",N167))),"werewolves","villagers"))</f>
      </c>
      <c r="P167" s="0" t="inlineStr">
        <is>
          <t xml:space="preserve"/>
        </is>
      </c>
      <c r="Q167" s="0">
        <f>IF(P167="","",IF(ROUND(P167,2)=5,"win","loss"))</f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>
        <f>IF(C168="","",IFERROR(LOOKUP(2,1/(($C$2:$C$1001=C168)*($Q$2:$Q$1001="win")),$O$2:$O$1001),""))</f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>
        <f>IF(N168="","",IF(OR(ISNUMBER(SEARCH("狼",N168)),ISNUMBER(SEARCH("石像鬼",N168)),ISNUMBER(SEARCH("恶灵骑士",N168)),ISNUMBER(SEARCH("黑蝙蝠",N168)),ISNUMBER(SEARCH("血月使徒",N168))),"werewolves","villagers"))</f>
      </c>
      <c r="P168" s="0" t="inlineStr">
        <is>
          <t xml:space="preserve"/>
        </is>
      </c>
      <c r="Q168" s="0">
        <f>IF(P168="","",IF(ROUND(P168,2)=5,"win","loss"))</f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>
        <f>IF(C169="","",IFERROR(LOOKUP(2,1/(($C$2:$C$1001=C169)*($Q$2:$Q$1001="win")),$O$2:$O$1001),""))</f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>
        <f>IF(N169="","",IF(OR(ISNUMBER(SEARCH("狼",N169)),ISNUMBER(SEARCH("石像鬼",N169)),ISNUMBER(SEARCH("恶灵骑士",N169)),ISNUMBER(SEARCH("黑蝙蝠",N169)),ISNUMBER(SEARCH("血月使徒",N169))),"werewolves","villagers"))</f>
      </c>
      <c r="P169" s="0" t="inlineStr">
        <is>
          <t xml:space="preserve"/>
        </is>
      </c>
      <c r="Q169" s="0">
        <f>IF(P169="","",IF(ROUND(P169,2)=5,"win","loss"))</f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>
        <f>IF(C170="","",IFERROR(LOOKUP(2,1/(($C$2:$C$1001=C170)*($Q$2:$Q$1001="win")),$O$2:$O$1001),""))</f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>
        <f>IF(N170="","",IF(OR(ISNUMBER(SEARCH("狼",N170)),ISNUMBER(SEARCH("石像鬼",N170)),ISNUMBER(SEARCH("恶灵骑士",N170)),ISNUMBER(SEARCH("黑蝙蝠",N170)),ISNUMBER(SEARCH("血月使徒",N170))),"werewolves","villagers"))</f>
      </c>
      <c r="P170" s="0" t="inlineStr">
        <is>
          <t xml:space="preserve"/>
        </is>
      </c>
      <c r="Q170" s="0">
        <f>IF(P170="","",IF(ROUND(P170,2)=5,"win","loss"))</f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>
        <f>IF(C171="","",IFERROR(LOOKUP(2,1/(($C$2:$C$1001=C171)*($Q$2:$Q$1001="win")),$O$2:$O$1001),""))</f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>
        <f>IF(N171="","",IF(OR(ISNUMBER(SEARCH("狼",N171)),ISNUMBER(SEARCH("石像鬼",N171)),ISNUMBER(SEARCH("恶灵骑士",N171)),ISNUMBER(SEARCH("黑蝙蝠",N171)),ISNUMBER(SEARCH("血月使徒",N171))),"werewolves","villagers"))</f>
      </c>
      <c r="P171" s="0" t="inlineStr">
        <is>
          <t xml:space="preserve"/>
        </is>
      </c>
      <c r="Q171" s="0">
        <f>IF(P171="","",IF(ROUND(P171,2)=5,"win","loss"))</f>
      </c>
      <c r="R171" s="0" t="inlineStr">
        <is>
          <t xml:space="preserve"/>
        </is>
      </c>
      <c r="S171" s="0" t="inlineStr">
        <is>
          <t xml:space="preserve"/>
        </is>
      </c>
      <c r="T171" s="0" t="inlineStr">
        <is>
          <t xml:space="preserve"/>
        </is>
      </c>
      <c r="U171" s="0" t="inlineStr">
        <is>
          <t xml:space="preserve"/>
        </is>
      </c>
      <c r="V171" s="0" t="inlineStr">
        <is>
          <t xml:space="preserve"/>
        </is>
      </c>
      <c r="W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>
        <f>IF(C172="","",IFERROR(LOOKUP(2,1/(($C$2:$C$1001=C172)*($Q$2:$Q$1001="win")),$O$2:$O$1001),""))</f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>
        <f>IF(N172="","",IF(OR(ISNUMBER(SEARCH("狼",N172)),ISNUMBER(SEARCH("石像鬼",N172)),ISNUMBER(SEARCH("恶灵骑士",N172)),ISNUMBER(SEARCH("黑蝙蝠",N172)),ISNUMBER(SEARCH("血月使徒",N172))),"werewolves","villagers"))</f>
      </c>
      <c r="P172" s="0" t="inlineStr">
        <is>
          <t xml:space="preserve"/>
        </is>
      </c>
      <c r="Q172" s="0">
        <f>IF(P172="","",IF(ROUND(P172,2)=5,"win","loss"))</f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>
        <f>IF(C173="","",IFERROR(LOOKUP(2,1/(($C$2:$C$1001=C173)*($Q$2:$Q$1001="win")),$O$2:$O$1001),""))</f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>
        <f>IF(N173="","",IF(OR(ISNUMBER(SEARCH("狼",N173)),ISNUMBER(SEARCH("石像鬼",N173)),ISNUMBER(SEARCH("恶灵骑士",N173)),ISNUMBER(SEARCH("黑蝙蝠",N173)),ISNUMBER(SEARCH("血月使徒",N173))),"werewolves","villagers"))</f>
      </c>
      <c r="P173" s="0" t="inlineStr">
        <is>
          <t xml:space="preserve"/>
        </is>
      </c>
      <c r="Q173" s="0">
        <f>IF(P173="","",IF(ROUND(P173,2)=5,"win","loss"))</f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>
        <f>IF(C174="","",IFERROR(LOOKUP(2,1/(($C$2:$C$1001=C174)*($Q$2:$Q$1001="win")),$O$2:$O$1001),""))</f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>
        <f>IF(N174="","",IF(OR(ISNUMBER(SEARCH("狼",N174)),ISNUMBER(SEARCH("石像鬼",N174)),ISNUMBER(SEARCH("恶灵骑士",N174)),ISNUMBER(SEARCH("黑蝙蝠",N174)),ISNUMBER(SEARCH("血月使徒",N174))),"werewolves","villagers"))</f>
      </c>
      <c r="P174" s="0" t="inlineStr">
        <is>
          <t xml:space="preserve"/>
        </is>
      </c>
      <c r="Q174" s="0">
        <f>IF(P174="","",IF(ROUND(P174,2)=5,"win","loss"))</f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>
        <f>IF(C175="","",IFERROR(LOOKUP(2,1/(($C$2:$C$1001=C175)*($Q$2:$Q$1001="win")),$O$2:$O$1001),""))</f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>
        <f>IF(N175="","",IF(OR(ISNUMBER(SEARCH("狼",N175)),ISNUMBER(SEARCH("石像鬼",N175)),ISNUMBER(SEARCH("恶灵骑士",N175)),ISNUMBER(SEARCH("黑蝙蝠",N175)),ISNUMBER(SEARCH("血月使徒",N175))),"werewolves","villagers"))</f>
      </c>
      <c r="P175" s="0" t="inlineStr">
        <is>
          <t xml:space="preserve"/>
        </is>
      </c>
      <c r="Q175" s="0">
        <f>IF(P175="","",IF(ROUND(P175,2)=5,"win","loss"))</f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>
        <f>IF(C176="","",IFERROR(LOOKUP(2,1/(($C$2:$C$1001=C176)*($Q$2:$Q$1001="win")),$O$2:$O$1001),""))</f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>
        <f>IF(N176="","",IF(OR(ISNUMBER(SEARCH("狼",N176)),ISNUMBER(SEARCH("石像鬼",N176)),ISNUMBER(SEARCH("恶灵骑士",N176)),ISNUMBER(SEARCH("黑蝙蝠",N176)),ISNUMBER(SEARCH("血月使徒",N176))),"werewolves","villagers"))</f>
      </c>
      <c r="P176" s="0" t="inlineStr">
        <is>
          <t xml:space="preserve"/>
        </is>
      </c>
      <c r="Q176" s="0">
        <f>IF(P176="","",IF(ROUND(P176,2)=5,"win","loss"))</f>
      </c>
      <c r="R176" s="0" t="inlineStr">
        <is>
          <t xml:space="preserve"/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>
        <f>IF(C177="","",IFERROR(LOOKUP(2,1/(($C$2:$C$1001=C177)*($Q$2:$Q$1001="win")),$O$2:$O$1001),""))</f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>
        <f>IF(N177="","",IF(OR(ISNUMBER(SEARCH("狼",N177)),ISNUMBER(SEARCH("石像鬼",N177)),ISNUMBER(SEARCH("恶灵骑士",N177)),ISNUMBER(SEARCH("黑蝙蝠",N177)),ISNUMBER(SEARCH("血月使徒",N177))),"werewolves","villagers"))</f>
      </c>
      <c r="P177" s="0" t="inlineStr">
        <is>
          <t xml:space="preserve"/>
        </is>
      </c>
      <c r="Q177" s="0">
        <f>IF(P177="","",IF(ROUND(P177,2)=5,"win","loss"))</f>
      </c>
      <c r="R177" s="0" t="inlineStr">
        <is>
          <t xml:space="preserve"/>
        </is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>
        <f>IF(C178="","",IFERROR(LOOKUP(2,1/(($C$2:$C$1001=C178)*($Q$2:$Q$1001="win")),$O$2:$O$1001),""))</f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>
        <f>IF(N178="","",IF(OR(ISNUMBER(SEARCH("狼",N178)),ISNUMBER(SEARCH("石像鬼",N178)),ISNUMBER(SEARCH("恶灵骑士",N178)),ISNUMBER(SEARCH("黑蝙蝠",N178)),ISNUMBER(SEARCH("血月使徒",N178))),"werewolves","villagers"))</f>
      </c>
      <c r="P178" s="0" t="inlineStr">
        <is>
          <t xml:space="preserve"/>
        </is>
      </c>
      <c r="Q178" s="0">
        <f>IF(P178="","",IF(ROUND(P178,2)=5,"win","loss"))</f>
      </c>
      <c r="R178" s="0" t="inlineStr">
        <is>
          <t xml:space="preserve"/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>
        <f>IF(C179="","",IFERROR(LOOKUP(2,1/(($C$2:$C$1001=C179)*($Q$2:$Q$1001="win")),$O$2:$O$1001),""))</f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>
        <f>IF(N179="","",IF(OR(ISNUMBER(SEARCH("狼",N179)),ISNUMBER(SEARCH("石像鬼",N179)),ISNUMBER(SEARCH("恶灵骑士",N179)),ISNUMBER(SEARCH("黑蝙蝠",N179)),ISNUMBER(SEARCH("血月使徒",N179))),"werewolves","villagers"))</f>
      </c>
      <c r="P179" s="0" t="inlineStr">
        <is>
          <t xml:space="preserve"/>
        </is>
      </c>
      <c r="Q179" s="0">
        <f>IF(P179="","",IF(ROUND(P179,2)=5,"win","loss"))</f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>
        <f>IF(C180="","",IFERROR(LOOKUP(2,1/(($C$2:$C$1001=C180)*($Q$2:$Q$1001="win")),$O$2:$O$1001),""))</f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>
        <f>IF(N180="","",IF(OR(ISNUMBER(SEARCH("狼",N180)),ISNUMBER(SEARCH("石像鬼",N180)),ISNUMBER(SEARCH("恶灵骑士",N180)),ISNUMBER(SEARCH("黑蝙蝠",N180)),ISNUMBER(SEARCH("血月使徒",N180))),"werewolves","villagers"))</f>
      </c>
      <c r="P180" s="0" t="inlineStr">
        <is>
          <t xml:space="preserve"/>
        </is>
      </c>
      <c r="Q180" s="0">
        <f>IF(P180="","",IF(ROUND(P180,2)=5,"win","loss"))</f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>
        <f>IF(C181="","",IFERROR(LOOKUP(2,1/(($C$2:$C$1001=C181)*($Q$2:$Q$1001="win")),$O$2:$O$1001),""))</f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>
        <f>IF(N181="","",IF(OR(ISNUMBER(SEARCH("狼",N181)),ISNUMBER(SEARCH("石像鬼",N181)),ISNUMBER(SEARCH("恶灵骑士",N181)),ISNUMBER(SEARCH("黑蝙蝠",N181)),ISNUMBER(SEARCH("血月使徒",N181))),"werewolves","villagers"))</f>
      </c>
      <c r="P181" s="0" t="inlineStr">
        <is>
          <t xml:space="preserve"/>
        </is>
      </c>
      <c r="Q181" s="0">
        <f>IF(P181="","",IF(ROUND(P181,2)=5,"win","loss"))</f>
      </c>
      <c r="R181" s="0" t="inlineStr">
        <is>
          <t xml:space="preserve"/>
        </is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>
        <f>IF(C182="","",IFERROR(LOOKUP(2,1/(($C$2:$C$1001=C182)*($Q$2:$Q$1001="win")),$O$2:$O$1001),""))</f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>
        <f>IF(N182="","",IF(OR(ISNUMBER(SEARCH("狼",N182)),ISNUMBER(SEARCH("石像鬼",N182)),ISNUMBER(SEARCH("恶灵骑士",N182)),ISNUMBER(SEARCH("黑蝙蝠",N182)),ISNUMBER(SEARCH("血月使徒",N182))),"werewolves","villagers"))</f>
      </c>
      <c r="P182" s="0" t="inlineStr">
        <is>
          <t xml:space="preserve"/>
        </is>
      </c>
      <c r="Q182" s="0">
        <f>IF(P182="","",IF(ROUND(P182,2)=5,"win","loss"))</f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>
        <f>IF(C183="","",IFERROR(LOOKUP(2,1/(($C$2:$C$1001=C183)*($Q$2:$Q$1001="win")),$O$2:$O$1001),""))</f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>
        <f>IF(N183="","",IF(OR(ISNUMBER(SEARCH("狼",N183)),ISNUMBER(SEARCH("石像鬼",N183)),ISNUMBER(SEARCH("恶灵骑士",N183)),ISNUMBER(SEARCH("黑蝙蝠",N183)),ISNUMBER(SEARCH("血月使徒",N183))),"werewolves","villagers"))</f>
      </c>
      <c r="P183" s="0" t="inlineStr">
        <is>
          <t xml:space="preserve"/>
        </is>
      </c>
      <c r="Q183" s="0">
        <f>IF(P183="","",IF(ROUND(P183,2)=5,"win","loss"))</f>
      </c>
      <c r="R183" s="0" t="inlineStr">
        <is>
          <t xml:space="preserve"/>
        </is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>
        <f>IF(C184="","",IFERROR(LOOKUP(2,1/(($C$2:$C$1001=C184)*($Q$2:$Q$1001="win")),$O$2:$O$1001),""))</f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>
        <f>IF(N184="","",IF(OR(ISNUMBER(SEARCH("狼",N184)),ISNUMBER(SEARCH("石像鬼",N184)),ISNUMBER(SEARCH("恶灵骑士",N184)),ISNUMBER(SEARCH("黑蝙蝠",N184)),ISNUMBER(SEARCH("血月使徒",N184))),"werewolves","villagers"))</f>
      </c>
      <c r="P184" s="0" t="inlineStr">
        <is>
          <t xml:space="preserve"/>
        </is>
      </c>
      <c r="Q184" s="0">
        <f>IF(P184="","",IF(ROUND(P184,2)=5,"win","loss"))</f>
      </c>
      <c r="R184" s="0" t="inlineStr">
        <is>
          <t xml:space="preserve"/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>
        <f>IF(C185="","",IFERROR(LOOKUP(2,1/(($C$2:$C$1001=C185)*($Q$2:$Q$1001="win")),$O$2:$O$1001),""))</f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>
        <f>IF(N185="","",IF(OR(ISNUMBER(SEARCH("狼",N185)),ISNUMBER(SEARCH("石像鬼",N185)),ISNUMBER(SEARCH("恶灵骑士",N185)),ISNUMBER(SEARCH("黑蝙蝠",N185)),ISNUMBER(SEARCH("血月使徒",N185))),"werewolves","villagers"))</f>
      </c>
      <c r="P185" s="0" t="inlineStr">
        <is>
          <t xml:space="preserve"/>
        </is>
      </c>
      <c r="Q185" s="0">
        <f>IF(P185="","",IF(ROUND(P185,2)=5,"win","loss"))</f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>
        <f>IF(C186="","",IFERROR(LOOKUP(2,1/(($C$2:$C$1001=C186)*($Q$2:$Q$1001="win")),$O$2:$O$1001),""))</f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>
        <f>IF(N186="","",IF(OR(ISNUMBER(SEARCH("狼",N186)),ISNUMBER(SEARCH("石像鬼",N186)),ISNUMBER(SEARCH("恶灵骑士",N186)),ISNUMBER(SEARCH("黑蝙蝠",N186)),ISNUMBER(SEARCH("血月使徒",N186))),"werewolves","villagers"))</f>
      </c>
      <c r="P186" s="0" t="inlineStr">
        <is>
          <t xml:space="preserve"/>
        </is>
      </c>
      <c r="Q186" s="0">
        <f>IF(P186="","",IF(ROUND(P186,2)=5,"win","loss"))</f>
      </c>
      <c r="R186" s="0" t="inlineStr">
        <is>
          <t xml:space="preserve"/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>
        <f>IF(C187="","",IFERROR(LOOKUP(2,1/(($C$2:$C$1001=C187)*($Q$2:$Q$1001="win")),$O$2:$O$1001),""))</f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>
        <f>IF(N187="","",IF(OR(ISNUMBER(SEARCH("狼",N187)),ISNUMBER(SEARCH("石像鬼",N187)),ISNUMBER(SEARCH("恶灵骑士",N187)),ISNUMBER(SEARCH("黑蝙蝠",N187)),ISNUMBER(SEARCH("血月使徒",N187))),"werewolves","villagers"))</f>
      </c>
      <c r="P187" s="0" t="inlineStr">
        <is>
          <t xml:space="preserve"/>
        </is>
      </c>
      <c r="Q187" s="0">
        <f>IF(P187="","",IF(ROUND(P187,2)=5,"win","loss"))</f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>
        <f>IF(C188="","",IFERROR(LOOKUP(2,1/(($C$2:$C$1001=C188)*($Q$2:$Q$1001="win")),$O$2:$O$1001),""))</f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>
        <f>IF(N188="","",IF(OR(ISNUMBER(SEARCH("狼",N188)),ISNUMBER(SEARCH("石像鬼",N188)),ISNUMBER(SEARCH("恶灵骑士",N188)),ISNUMBER(SEARCH("黑蝙蝠",N188)),ISNUMBER(SEARCH("血月使徒",N188))),"werewolves","villagers"))</f>
      </c>
      <c r="P188" s="0" t="inlineStr">
        <is>
          <t xml:space="preserve"/>
        </is>
      </c>
      <c r="Q188" s="0">
        <f>IF(P188="","",IF(ROUND(P188,2)=5,"win","loss"))</f>
      </c>
      <c r="R188" s="0" t="inlineStr">
        <is>
          <t xml:space="preserve"/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/>
        </is>
      </c>
      <c r="W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>
        <f>IF(C189="","",IFERROR(LOOKUP(2,1/(($C$2:$C$1001=C189)*($Q$2:$Q$1001="win")),$O$2:$O$1001),""))</f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>
        <f>IF(N189="","",IF(OR(ISNUMBER(SEARCH("狼",N189)),ISNUMBER(SEARCH("石像鬼",N189)),ISNUMBER(SEARCH("恶灵骑士",N189)),ISNUMBER(SEARCH("黑蝙蝠",N189)),ISNUMBER(SEARCH("血月使徒",N189))),"werewolves","villagers"))</f>
      </c>
      <c r="P189" s="0" t="inlineStr">
        <is>
          <t xml:space="preserve"/>
        </is>
      </c>
      <c r="Q189" s="0">
        <f>IF(P189="","",IF(ROUND(P189,2)=5,"win","loss"))</f>
      </c>
      <c r="R189" s="0" t="inlineStr">
        <is>
          <t xml:space="preserve"/>
        </is>
      </c>
      <c r="S189" s="0" t="inlineStr">
        <is>
          <t xml:space="preserve"/>
        </is>
      </c>
      <c r="T189" s="0" t="inlineStr">
        <is>
          <t xml:space="preserve"/>
        </is>
      </c>
      <c r="U189" s="0" t="inlineStr">
        <is>
          <t xml:space="preserve"/>
        </is>
      </c>
      <c r="V189" s="0" t="inlineStr">
        <is>
          <t xml:space="preserve"/>
        </is>
      </c>
      <c r="W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>
        <f>IF(C190="","",IFERROR(LOOKUP(2,1/(($C$2:$C$1001=C190)*($Q$2:$Q$1001="win")),$O$2:$O$1001),""))</f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>
        <f>IF(N190="","",IF(OR(ISNUMBER(SEARCH("狼",N190)),ISNUMBER(SEARCH("石像鬼",N190)),ISNUMBER(SEARCH("恶灵骑士",N190)),ISNUMBER(SEARCH("黑蝙蝠",N190)),ISNUMBER(SEARCH("血月使徒",N190))),"werewolves","villagers"))</f>
      </c>
      <c r="P190" s="0" t="inlineStr">
        <is>
          <t xml:space="preserve"/>
        </is>
      </c>
      <c r="Q190" s="0">
        <f>IF(P190="","",IF(ROUND(P190,2)=5,"win","loss"))</f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>
        <f>IF(C191="","",IFERROR(LOOKUP(2,1/(($C$2:$C$1001=C191)*($Q$2:$Q$1001="win")),$O$2:$O$1001),""))</f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>
        <f>IF(N191="","",IF(OR(ISNUMBER(SEARCH("狼",N191)),ISNUMBER(SEARCH("石像鬼",N191)),ISNUMBER(SEARCH("恶灵骑士",N191)),ISNUMBER(SEARCH("黑蝙蝠",N191)),ISNUMBER(SEARCH("血月使徒",N191))),"werewolves","villagers"))</f>
      </c>
      <c r="P191" s="0" t="inlineStr">
        <is>
          <t xml:space="preserve"/>
        </is>
      </c>
      <c r="Q191" s="0">
        <f>IF(P191="","",IF(ROUND(P191,2)=5,"win","loss"))</f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>
        <f>IF(C192="","",IFERROR(LOOKUP(2,1/(($C$2:$C$1001=C192)*($Q$2:$Q$1001="win")),$O$2:$O$1001),""))</f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>
        <f>IF(N192="","",IF(OR(ISNUMBER(SEARCH("狼",N192)),ISNUMBER(SEARCH("石像鬼",N192)),ISNUMBER(SEARCH("恶灵骑士",N192)),ISNUMBER(SEARCH("黑蝙蝠",N192)),ISNUMBER(SEARCH("血月使徒",N192))),"werewolves","villagers"))</f>
      </c>
      <c r="P192" s="0" t="inlineStr">
        <is>
          <t xml:space="preserve"/>
        </is>
      </c>
      <c r="Q192" s="0">
        <f>IF(P192="","",IF(ROUND(P192,2)=5,"win","loss"))</f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>
        <f>IF(C193="","",IFERROR(LOOKUP(2,1/(($C$2:$C$1001=C193)*($Q$2:$Q$1001="win")),$O$2:$O$1001),""))</f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>
        <f>IF(N193="","",IF(OR(ISNUMBER(SEARCH("狼",N193)),ISNUMBER(SEARCH("石像鬼",N193)),ISNUMBER(SEARCH("恶灵骑士",N193)),ISNUMBER(SEARCH("黑蝙蝠",N193)),ISNUMBER(SEARCH("血月使徒",N193))),"werewolves","villagers"))</f>
      </c>
      <c r="P193" s="0" t="inlineStr">
        <is>
          <t xml:space="preserve"/>
        </is>
      </c>
      <c r="Q193" s="0">
        <f>IF(P193="","",IF(ROUND(P193,2)=5,"win","loss"))</f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>
        <f>IF(C194="","",IFERROR(LOOKUP(2,1/(($C$2:$C$1001=C194)*($Q$2:$Q$1001="win")),$O$2:$O$1001),""))</f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>
        <f>IF(N194="","",IF(OR(ISNUMBER(SEARCH("狼",N194)),ISNUMBER(SEARCH("石像鬼",N194)),ISNUMBER(SEARCH("恶灵骑士",N194)),ISNUMBER(SEARCH("黑蝙蝠",N194)),ISNUMBER(SEARCH("血月使徒",N194))),"werewolves","villagers"))</f>
      </c>
      <c r="P194" s="0" t="inlineStr">
        <is>
          <t xml:space="preserve"/>
        </is>
      </c>
      <c r="Q194" s="0">
        <f>IF(P194="","",IF(ROUND(P194,2)=5,"win","loss"))</f>
      </c>
      <c r="R194" s="0" t="inlineStr">
        <is>
          <t xml:space="preserve"/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>
        <f>IF(C195="","",IFERROR(LOOKUP(2,1/(($C$2:$C$1001=C195)*($Q$2:$Q$1001="win")),$O$2:$O$1001),""))</f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>
        <f>IF(N195="","",IF(OR(ISNUMBER(SEARCH("狼",N195)),ISNUMBER(SEARCH("石像鬼",N195)),ISNUMBER(SEARCH("恶灵骑士",N195)),ISNUMBER(SEARCH("黑蝙蝠",N195)),ISNUMBER(SEARCH("血月使徒",N195))),"werewolves","villagers"))</f>
      </c>
      <c r="P195" s="0" t="inlineStr">
        <is>
          <t xml:space="preserve"/>
        </is>
      </c>
      <c r="Q195" s="0">
        <f>IF(P195="","",IF(ROUND(P195,2)=5,"win","loss"))</f>
      </c>
      <c r="R195" s="0" t="inlineStr">
        <is>
          <t xml:space="preserve"/>
        </is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>
        <f>IF(C196="","",IFERROR(LOOKUP(2,1/(($C$2:$C$1001=C196)*($Q$2:$Q$1001="win")),$O$2:$O$1001),""))</f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>
        <f>IF(N196="","",IF(OR(ISNUMBER(SEARCH("狼",N196)),ISNUMBER(SEARCH("石像鬼",N196)),ISNUMBER(SEARCH("恶灵骑士",N196)),ISNUMBER(SEARCH("黑蝙蝠",N196)),ISNUMBER(SEARCH("血月使徒",N196))),"werewolves","villagers"))</f>
      </c>
      <c r="P196" s="0" t="inlineStr">
        <is>
          <t xml:space="preserve"/>
        </is>
      </c>
      <c r="Q196" s="0">
        <f>IF(P196="","",IF(ROUND(P196,2)=5,"win","loss"))</f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>
        <f>IF(C197="","",IFERROR(LOOKUP(2,1/(($C$2:$C$1001=C197)*($Q$2:$Q$1001="win")),$O$2:$O$1001),""))</f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>
        <f>IF(N197="","",IF(OR(ISNUMBER(SEARCH("狼",N197)),ISNUMBER(SEARCH("石像鬼",N197)),ISNUMBER(SEARCH("恶灵骑士",N197)),ISNUMBER(SEARCH("黑蝙蝠",N197)),ISNUMBER(SEARCH("血月使徒",N197))),"werewolves","villagers"))</f>
      </c>
      <c r="P197" s="0" t="inlineStr">
        <is>
          <t xml:space="preserve"/>
        </is>
      </c>
      <c r="Q197" s="0">
        <f>IF(P197="","",IF(ROUND(P197,2)=5,"win","loss"))</f>
      </c>
      <c r="R197" s="0" t="inlineStr">
        <is>
          <t xml:space="preserve"/>
        </is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>
        <f>IF(C198="","",IFERROR(LOOKUP(2,1/(($C$2:$C$1001=C198)*($Q$2:$Q$1001="win")),$O$2:$O$1001),""))</f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>
        <f>IF(N198="","",IF(OR(ISNUMBER(SEARCH("狼",N198)),ISNUMBER(SEARCH("石像鬼",N198)),ISNUMBER(SEARCH("恶灵骑士",N198)),ISNUMBER(SEARCH("黑蝙蝠",N198)),ISNUMBER(SEARCH("血月使徒",N198))),"werewolves","villagers"))</f>
      </c>
      <c r="P198" s="0" t="inlineStr">
        <is>
          <t xml:space="preserve"/>
        </is>
      </c>
      <c r="Q198" s="0">
        <f>IF(P198="","",IF(ROUND(P198,2)=5,"win","loss"))</f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>
        <f>IF(C199="","",IFERROR(LOOKUP(2,1/(($C$2:$C$1001=C199)*($Q$2:$Q$1001="win")),$O$2:$O$1001),""))</f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>
        <f>IF(N199="","",IF(OR(ISNUMBER(SEARCH("狼",N199)),ISNUMBER(SEARCH("石像鬼",N199)),ISNUMBER(SEARCH("恶灵骑士",N199)),ISNUMBER(SEARCH("黑蝙蝠",N199)),ISNUMBER(SEARCH("血月使徒",N199))),"werewolves","villagers"))</f>
      </c>
      <c r="P199" s="0" t="inlineStr">
        <is>
          <t xml:space="preserve"/>
        </is>
      </c>
      <c r="Q199" s="0">
        <f>IF(P199="","",IF(ROUND(P199,2)=5,"win","loss"))</f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>
        <f>IF(C200="","",IFERROR(LOOKUP(2,1/(($C$2:$C$1001=C200)*($Q$2:$Q$1001="win")),$O$2:$O$1001),""))</f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>
        <f>IF(N200="","",IF(OR(ISNUMBER(SEARCH("狼",N200)),ISNUMBER(SEARCH("石像鬼",N200)),ISNUMBER(SEARCH("恶灵骑士",N200)),ISNUMBER(SEARCH("黑蝙蝠",N200)),ISNUMBER(SEARCH("血月使徒",N200))),"werewolves","villagers"))</f>
      </c>
      <c r="P200" s="0" t="inlineStr">
        <is>
          <t xml:space="preserve"/>
        </is>
      </c>
      <c r="Q200" s="0">
        <f>IF(P200="","",IF(ROUND(P200,2)=5,"win","loss"))</f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>
        <f>IF(C201="","",IFERROR(LOOKUP(2,1/(($C$2:$C$1001=C201)*($Q$2:$Q$1001="win")),$O$2:$O$1001),""))</f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>
        <f>IF(N201="","",IF(OR(ISNUMBER(SEARCH("狼",N201)),ISNUMBER(SEARCH("石像鬼",N201)),ISNUMBER(SEARCH("恶灵骑士",N201)),ISNUMBER(SEARCH("黑蝙蝠",N201)),ISNUMBER(SEARCH("血月使徒",N201))),"werewolves","villagers"))</f>
      </c>
      <c r="P201" s="0" t="inlineStr">
        <is>
          <t xml:space="preserve"/>
        </is>
      </c>
      <c r="Q201" s="0">
        <f>IF(P201="","",IF(ROUND(P201,2)=5,"win","loss"))</f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>
        <f>IF(C202="","",IFERROR(LOOKUP(2,1/(($C$2:$C$1001=C202)*($Q$2:$Q$1001="win")),$O$2:$O$1001),""))</f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>
        <f>IF(N202="","",IF(OR(ISNUMBER(SEARCH("狼",N202)),ISNUMBER(SEARCH("石像鬼",N202)),ISNUMBER(SEARCH("恶灵骑士",N202)),ISNUMBER(SEARCH("黑蝙蝠",N202)),ISNUMBER(SEARCH("血月使徒",N202))),"werewolves","villagers"))</f>
      </c>
      <c r="P202" s="0" t="inlineStr">
        <is>
          <t xml:space="preserve"/>
        </is>
      </c>
      <c r="Q202" s="0">
        <f>IF(P202="","",IF(ROUND(P202,2)=5,"win","loss"))</f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>
        <f>IF(C203="","",IFERROR(LOOKUP(2,1/(($C$2:$C$1001=C203)*($Q$2:$Q$1001="win")),$O$2:$O$1001),""))</f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>
        <f>IF(N203="","",IF(OR(ISNUMBER(SEARCH("狼",N203)),ISNUMBER(SEARCH("石像鬼",N203)),ISNUMBER(SEARCH("恶灵骑士",N203)),ISNUMBER(SEARCH("黑蝙蝠",N203)),ISNUMBER(SEARCH("血月使徒",N203))),"werewolves","villagers"))</f>
      </c>
      <c r="P203" s="0" t="inlineStr">
        <is>
          <t xml:space="preserve"/>
        </is>
      </c>
      <c r="Q203" s="0">
        <f>IF(P203="","",IF(ROUND(P203,2)=5,"win","loss"))</f>
      </c>
      <c r="R203" s="0" t="inlineStr">
        <is>
          <t xml:space="preserve"/>
        </is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>
        <f>IF(C204="","",IFERROR(LOOKUP(2,1/(($C$2:$C$1001=C204)*($Q$2:$Q$1001="win")),$O$2:$O$1001),""))</f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>
        <f>IF(N204="","",IF(OR(ISNUMBER(SEARCH("狼",N204)),ISNUMBER(SEARCH("石像鬼",N204)),ISNUMBER(SEARCH("恶灵骑士",N204)),ISNUMBER(SEARCH("黑蝙蝠",N204)),ISNUMBER(SEARCH("血月使徒",N204))),"werewolves","villagers"))</f>
      </c>
      <c r="P204" s="0" t="inlineStr">
        <is>
          <t xml:space="preserve"/>
        </is>
      </c>
      <c r="Q204" s="0">
        <f>IF(P204="","",IF(ROUND(P204,2)=5,"win","loss"))</f>
      </c>
      <c r="R204" s="0" t="inlineStr">
        <is>
          <t xml:space="preserve"/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>
        <f>IF(C205="","",IFERROR(LOOKUP(2,1/(($C$2:$C$1001=C205)*($Q$2:$Q$1001="win")),$O$2:$O$1001),""))</f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>
        <f>IF(N205="","",IF(OR(ISNUMBER(SEARCH("狼",N205)),ISNUMBER(SEARCH("石像鬼",N205)),ISNUMBER(SEARCH("恶灵骑士",N205)),ISNUMBER(SEARCH("黑蝙蝠",N205)),ISNUMBER(SEARCH("血月使徒",N205))),"werewolves","villagers"))</f>
      </c>
      <c r="P205" s="0" t="inlineStr">
        <is>
          <t xml:space="preserve"/>
        </is>
      </c>
      <c r="Q205" s="0">
        <f>IF(P205="","",IF(ROUND(P205,2)=5,"win","loss"))</f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>
        <f>IF(C206="","",IFERROR(LOOKUP(2,1/(($C$2:$C$1001=C206)*($Q$2:$Q$1001="win")),$O$2:$O$1001),""))</f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>
        <f>IF(N206="","",IF(OR(ISNUMBER(SEARCH("狼",N206)),ISNUMBER(SEARCH("石像鬼",N206)),ISNUMBER(SEARCH("恶灵骑士",N206)),ISNUMBER(SEARCH("黑蝙蝠",N206)),ISNUMBER(SEARCH("血月使徒",N206))),"werewolves","villagers"))</f>
      </c>
      <c r="P206" s="0" t="inlineStr">
        <is>
          <t xml:space="preserve"/>
        </is>
      </c>
      <c r="Q206" s="0">
        <f>IF(P206="","",IF(ROUND(P206,2)=5,"win","loss"))</f>
      </c>
      <c r="R206" s="0" t="inlineStr">
        <is>
          <t xml:space="preserve"/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>
        <f>IF(C207="","",IFERROR(LOOKUP(2,1/(($C$2:$C$1001=C207)*($Q$2:$Q$1001="win")),$O$2:$O$1001),""))</f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>
        <f>IF(N207="","",IF(OR(ISNUMBER(SEARCH("狼",N207)),ISNUMBER(SEARCH("石像鬼",N207)),ISNUMBER(SEARCH("恶灵骑士",N207)),ISNUMBER(SEARCH("黑蝙蝠",N207)),ISNUMBER(SEARCH("血月使徒",N207))),"werewolves","villagers"))</f>
      </c>
      <c r="P207" s="0" t="inlineStr">
        <is>
          <t xml:space="preserve"/>
        </is>
      </c>
      <c r="Q207" s="0">
        <f>IF(P207="","",IF(ROUND(P207,2)=5,"win","loss"))</f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>
        <f>IF(C208="","",IFERROR(LOOKUP(2,1/(($C$2:$C$1001=C208)*($Q$2:$Q$1001="win")),$O$2:$O$1001),""))</f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>
        <f>IF(N208="","",IF(OR(ISNUMBER(SEARCH("狼",N208)),ISNUMBER(SEARCH("石像鬼",N208)),ISNUMBER(SEARCH("恶灵骑士",N208)),ISNUMBER(SEARCH("黑蝙蝠",N208)),ISNUMBER(SEARCH("血月使徒",N208))),"werewolves","villagers"))</f>
      </c>
      <c r="P208" s="0" t="inlineStr">
        <is>
          <t xml:space="preserve"/>
        </is>
      </c>
      <c r="Q208" s="0">
        <f>IF(P208="","",IF(ROUND(P208,2)=5,"win","loss"))</f>
      </c>
      <c r="R208" s="0" t="inlineStr">
        <is>
          <t xml:space="preserve"/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>
        <f>IF(C209="","",IFERROR(LOOKUP(2,1/(($C$2:$C$1001=C209)*($Q$2:$Q$1001="win")),$O$2:$O$1001),""))</f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>
        <f>IF(N209="","",IF(OR(ISNUMBER(SEARCH("狼",N209)),ISNUMBER(SEARCH("石像鬼",N209)),ISNUMBER(SEARCH("恶灵骑士",N209)),ISNUMBER(SEARCH("黑蝙蝠",N209)),ISNUMBER(SEARCH("血月使徒",N209))),"werewolves","villagers"))</f>
      </c>
      <c r="P209" s="0" t="inlineStr">
        <is>
          <t xml:space="preserve"/>
        </is>
      </c>
      <c r="Q209" s="0">
        <f>IF(P209="","",IF(ROUND(P209,2)=5,"win","loss"))</f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>
        <f>IF(C210="","",IFERROR(LOOKUP(2,1/(($C$2:$C$1001=C210)*($Q$2:$Q$1001="win")),$O$2:$O$1001),""))</f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>
        <f>IF(N210="","",IF(OR(ISNUMBER(SEARCH("狼",N210)),ISNUMBER(SEARCH("石像鬼",N210)),ISNUMBER(SEARCH("恶灵骑士",N210)),ISNUMBER(SEARCH("黑蝙蝠",N210)),ISNUMBER(SEARCH("血月使徒",N210))),"werewolves","villagers"))</f>
      </c>
      <c r="P210" s="0" t="inlineStr">
        <is>
          <t xml:space="preserve"/>
        </is>
      </c>
      <c r="Q210" s="0">
        <f>IF(P210="","",IF(ROUND(P210,2)=5,"win","loss"))</f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>
        <f>IF(C211="","",IFERROR(LOOKUP(2,1/(($C$2:$C$1001=C211)*($Q$2:$Q$1001="win")),$O$2:$O$1001),""))</f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>
        <f>IF(N211="","",IF(OR(ISNUMBER(SEARCH("狼",N211)),ISNUMBER(SEARCH("石像鬼",N211)),ISNUMBER(SEARCH("恶灵骑士",N211)),ISNUMBER(SEARCH("黑蝙蝠",N211)),ISNUMBER(SEARCH("血月使徒",N211))),"werewolves","villagers"))</f>
      </c>
      <c r="P211" s="0" t="inlineStr">
        <is>
          <t xml:space="preserve"/>
        </is>
      </c>
      <c r="Q211" s="0">
        <f>IF(P211="","",IF(ROUND(P211,2)=5,"win","loss"))</f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>
        <f>IF(C212="","",IFERROR(LOOKUP(2,1/(($C$2:$C$1001=C212)*($Q$2:$Q$1001="win")),$O$2:$O$1001),""))</f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>
        <f>IF(N212="","",IF(OR(ISNUMBER(SEARCH("狼",N212)),ISNUMBER(SEARCH("石像鬼",N212)),ISNUMBER(SEARCH("恶灵骑士",N212)),ISNUMBER(SEARCH("黑蝙蝠",N212)),ISNUMBER(SEARCH("血月使徒",N212))),"werewolves","villagers"))</f>
      </c>
      <c r="P212" s="0" t="inlineStr">
        <is>
          <t xml:space="preserve"/>
        </is>
      </c>
      <c r="Q212" s="0">
        <f>IF(P212="","",IF(ROUND(P212,2)=5,"win","loss"))</f>
      </c>
      <c r="R212" s="0" t="inlineStr">
        <is>
          <t xml:space="preserve"/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/>
        </is>
      </c>
      <c r="W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>
        <f>IF(C213="","",IFERROR(LOOKUP(2,1/(($C$2:$C$1001=C213)*($Q$2:$Q$1001="win")),$O$2:$O$1001),""))</f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>
        <f>IF(N213="","",IF(OR(ISNUMBER(SEARCH("狼",N213)),ISNUMBER(SEARCH("石像鬼",N213)),ISNUMBER(SEARCH("恶灵骑士",N213)),ISNUMBER(SEARCH("黑蝙蝠",N213)),ISNUMBER(SEARCH("血月使徒",N213))),"werewolves","villagers"))</f>
      </c>
      <c r="P213" s="0" t="inlineStr">
        <is>
          <t xml:space="preserve"/>
        </is>
      </c>
      <c r="Q213" s="0">
        <f>IF(P213="","",IF(ROUND(P213,2)=5,"win","loss"))</f>
      </c>
      <c r="R213" s="0" t="inlineStr">
        <is>
          <t xml:space="preserve"/>
        </is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>
        <f>IF(C214="","",IFERROR(LOOKUP(2,1/(($C$2:$C$1001=C214)*($Q$2:$Q$1001="win")),$O$2:$O$1001),""))</f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>
        <f>IF(N214="","",IF(OR(ISNUMBER(SEARCH("狼",N214)),ISNUMBER(SEARCH("石像鬼",N214)),ISNUMBER(SEARCH("恶灵骑士",N214)),ISNUMBER(SEARCH("黑蝙蝠",N214)),ISNUMBER(SEARCH("血月使徒",N214))),"werewolves","villagers"))</f>
      </c>
      <c r="P214" s="0" t="inlineStr">
        <is>
          <t xml:space="preserve"/>
        </is>
      </c>
      <c r="Q214" s="0">
        <f>IF(P214="","",IF(ROUND(P214,2)=5,"win","loss"))</f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>
        <f>IF(C215="","",IFERROR(LOOKUP(2,1/(($C$2:$C$1001=C215)*($Q$2:$Q$1001="win")),$O$2:$O$1001),""))</f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>
        <f>IF(N215="","",IF(OR(ISNUMBER(SEARCH("狼",N215)),ISNUMBER(SEARCH("石像鬼",N215)),ISNUMBER(SEARCH("恶灵骑士",N215)),ISNUMBER(SEARCH("黑蝙蝠",N215)),ISNUMBER(SEARCH("血月使徒",N215))),"werewolves","villagers"))</f>
      </c>
      <c r="P215" s="0" t="inlineStr">
        <is>
          <t xml:space="preserve"/>
        </is>
      </c>
      <c r="Q215" s="0">
        <f>IF(P215="","",IF(ROUND(P215,2)=5,"win","loss"))</f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>
        <f>IF(C216="","",IFERROR(LOOKUP(2,1/(($C$2:$C$1001=C216)*($Q$2:$Q$1001="win")),$O$2:$O$1001),""))</f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>
        <f>IF(N216="","",IF(OR(ISNUMBER(SEARCH("狼",N216)),ISNUMBER(SEARCH("石像鬼",N216)),ISNUMBER(SEARCH("恶灵骑士",N216)),ISNUMBER(SEARCH("黑蝙蝠",N216)),ISNUMBER(SEARCH("血月使徒",N216))),"werewolves","villagers"))</f>
      </c>
      <c r="P216" s="0" t="inlineStr">
        <is>
          <t xml:space="preserve"/>
        </is>
      </c>
      <c r="Q216" s="0">
        <f>IF(P216="","",IF(ROUND(P216,2)=5,"win","loss"))</f>
      </c>
      <c r="R216" s="0" t="inlineStr">
        <is>
          <t xml:space="preserve"/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/>
        </is>
      </c>
      <c r="W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>
        <f>IF(C217="","",IFERROR(LOOKUP(2,1/(($C$2:$C$1001=C217)*($Q$2:$Q$1001="win")),$O$2:$O$1001),""))</f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>
        <f>IF(N217="","",IF(OR(ISNUMBER(SEARCH("狼",N217)),ISNUMBER(SEARCH("石像鬼",N217)),ISNUMBER(SEARCH("恶灵骑士",N217)),ISNUMBER(SEARCH("黑蝙蝠",N217)),ISNUMBER(SEARCH("血月使徒",N217))),"werewolves","villagers"))</f>
      </c>
      <c r="P217" s="0" t="inlineStr">
        <is>
          <t xml:space="preserve"/>
        </is>
      </c>
      <c r="Q217" s="0">
        <f>IF(P217="","",IF(ROUND(P217,2)=5,"win","loss"))</f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>
        <f>IF(C218="","",IFERROR(LOOKUP(2,1/(($C$2:$C$1001=C218)*($Q$2:$Q$1001="win")),$O$2:$O$1001),""))</f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>
        <f>IF(N218="","",IF(OR(ISNUMBER(SEARCH("狼",N218)),ISNUMBER(SEARCH("石像鬼",N218)),ISNUMBER(SEARCH("恶灵骑士",N218)),ISNUMBER(SEARCH("黑蝙蝠",N218)),ISNUMBER(SEARCH("血月使徒",N218))),"werewolves","villagers"))</f>
      </c>
      <c r="P218" s="0" t="inlineStr">
        <is>
          <t xml:space="preserve"/>
        </is>
      </c>
      <c r="Q218" s="0">
        <f>IF(P218="","",IF(ROUND(P218,2)=5,"win","loss"))</f>
      </c>
      <c r="R218" s="0" t="inlineStr">
        <is>
          <t xml:space="preserve"/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>
        <f>IF(C219="","",IFERROR(LOOKUP(2,1/(($C$2:$C$1001=C219)*($Q$2:$Q$1001="win")),$O$2:$O$1001),""))</f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>
        <f>IF(N219="","",IF(OR(ISNUMBER(SEARCH("狼",N219)),ISNUMBER(SEARCH("石像鬼",N219)),ISNUMBER(SEARCH("恶灵骑士",N219)),ISNUMBER(SEARCH("黑蝙蝠",N219)),ISNUMBER(SEARCH("血月使徒",N219))),"werewolves","villagers"))</f>
      </c>
      <c r="P219" s="0" t="inlineStr">
        <is>
          <t xml:space="preserve"/>
        </is>
      </c>
      <c r="Q219" s="0">
        <f>IF(P219="","",IF(ROUND(P219,2)=5,"win","loss"))</f>
      </c>
      <c r="R219" s="0" t="inlineStr">
        <is>
          <t xml:space="preserve"/>
        </is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>
        <f>IF(C220="","",IFERROR(LOOKUP(2,1/(($C$2:$C$1001=C220)*($Q$2:$Q$1001="win")),$O$2:$O$1001),""))</f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>
        <f>IF(N220="","",IF(OR(ISNUMBER(SEARCH("狼",N220)),ISNUMBER(SEARCH("石像鬼",N220)),ISNUMBER(SEARCH("恶灵骑士",N220)),ISNUMBER(SEARCH("黑蝙蝠",N220)),ISNUMBER(SEARCH("血月使徒",N220))),"werewolves","villagers"))</f>
      </c>
      <c r="P220" s="0" t="inlineStr">
        <is>
          <t xml:space="preserve"/>
        </is>
      </c>
      <c r="Q220" s="0">
        <f>IF(P220="","",IF(ROUND(P220,2)=5,"win","loss"))</f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>
        <f>IF(C221="","",IFERROR(LOOKUP(2,1/(($C$2:$C$1001=C221)*($Q$2:$Q$1001="win")),$O$2:$O$1001),""))</f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>
        <f>IF(N221="","",IF(OR(ISNUMBER(SEARCH("狼",N221)),ISNUMBER(SEARCH("石像鬼",N221)),ISNUMBER(SEARCH("恶灵骑士",N221)),ISNUMBER(SEARCH("黑蝙蝠",N221)),ISNUMBER(SEARCH("血月使徒",N221))),"werewolves","villagers"))</f>
      </c>
      <c r="P221" s="0" t="inlineStr">
        <is>
          <t xml:space="preserve"/>
        </is>
      </c>
      <c r="Q221" s="0">
        <f>IF(P221="","",IF(ROUND(P221,2)=5,"win","loss"))</f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>
        <f>IF(C222="","",IFERROR(LOOKUP(2,1/(($C$2:$C$1001=C222)*($Q$2:$Q$1001="win")),$O$2:$O$1001),""))</f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>
        <f>IF(N222="","",IF(OR(ISNUMBER(SEARCH("狼",N222)),ISNUMBER(SEARCH("石像鬼",N222)),ISNUMBER(SEARCH("恶灵骑士",N222)),ISNUMBER(SEARCH("黑蝙蝠",N222)),ISNUMBER(SEARCH("血月使徒",N222))),"werewolves","villagers"))</f>
      </c>
      <c r="P222" s="0" t="inlineStr">
        <is>
          <t xml:space="preserve"/>
        </is>
      </c>
      <c r="Q222" s="0">
        <f>IF(P222="","",IF(ROUND(P222,2)=5,"win","loss"))</f>
      </c>
      <c r="R222" s="0" t="inlineStr">
        <is>
          <t xml:space="preserve"/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>
        <f>IF(C223="","",IFERROR(LOOKUP(2,1/(($C$2:$C$1001=C223)*($Q$2:$Q$1001="win")),$O$2:$O$1001),""))</f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>
        <f>IF(N223="","",IF(OR(ISNUMBER(SEARCH("狼",N223)),ISNUMBER(SEARCH("石像鬼",N223)),ISNUMBER(SEARCH("恶灵骑士",N223)),ISNUMBER(SEARCH("黑蝙蝠",N223)),ISNUMBER(SEARCH("血月使徒",N223))),"werewolves","villagers"))</f>
      </c>
      <c r="P223" s="0" t="inlineStr">
        <is>
          <t xml:space="preserve"/>
        </is>
      </c>
      <c r="Q223" s="0">
        <f>IF(P223="","",IF(ROUND(P223,2)=5,"win","loss"))</f>
      </c>
      <c r="R223" s="0" t="inlineStr">
        <is>
          <t xml:space="preserve"/>
        </is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>
        <f>IF(C224="","",IFERROR(LOOKUP(2,1/(($C$2:$C$1001=C224)*($Q$2:$Q$1001="win")),$O$2:$O$1001),""))</f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>
        <f>IF(N224="","",IF(OR(ISNUMBER(SEARCH("狼",N224)),ISNUMBER(SEARCH("石像鬼",N224)),ISNUMBER(SEARCH("恶灵骑士",N224)),ISNUMBER(SEARCH("黑蝙蝠",N224)),ISNUMBER(SEARCH("血月使徒",N224))),"werewolves","villagers"))</f>
      </c>
      <c r="P224" s="0" t="inlineStr">
        <is>
          <t xml:space="preserve"/>
        </is>
      </c>
      <c r="Q224" s="0">
        <f>IF(P224="","",IF(ROUND(P224,2)=5,"win","loss"))</f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>
        <f>IF(C225="","",IFERROR(LOOKUP(2,1/(($C$2:$C$1001=C225)*($Q$2:$Q$1001="win")),$O$2:$O$1001),""))</f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>
        <f>IF(N225="","",IF(OR(ISNUMBER(SEARCH("狼",N225)),ISNUMBER(SEARCH("石像鬼",N225)),ISNUMBER(SEARCH("恶灵骑士",N225)),ISNUMBER(SEARCH("黑蝙蝠",N225)),ISNUMBER(SEARCH("血月使徒",N225))),"werewolves","villagers"))</f>
      </c>
      <c r="P225" s="0" t="inlineStr">
        <is>
          <t xml:space="preserve"/>
        </is>
      </c>
      <c r="Q225" s="0">
        <f>IF(P225="","",IF(ROUND(P225,2)=5,"win","loss"))</f>
      </c>
      <c r="R225" s="0" t="inlineStr">
        <is>
          <t xml:space="preserve"/>
        </is>
      </c>
      <c r="S225" s="0" t="inlineStr">
        <is>
          <t xml:space="preserve"/>
        </is>
      </c>
      <c r="T225" s="0" t="inlineStr">
        <is>
          <t xml:space="preserve"/>
        </is>
      </c>
      <c r="U225" s="0" t="inlineStr">
        <is>
          <t xml:space="preserve"/>
        </is>
      </c>
      <c r="V225" s="0" t="inlineStr">
        <is>
          <t xml:space="preserve"/>
        </is>
      </c>
      <c r="W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>
        <f>IF(C226="","",IFERROR(LOOKUP(2,1/(($C$2:$C$1001=C226)*($Q$2:$Q$1001="win")),$O$2:$O$1001),""))</f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>
        <f>IF(N226="","",IF(OR(ISNUMBER(SEARCH("狼",N226)),ISNUMBER(SEARCH("石像鬼",N226)),ISNUMBER(SEARCH("恶灵骑士",N226)),ISNUMBER(SEARCH("黑蝙蝠",N226)),ISNUMBER(SEARCH("血月使徒",N226))),"werewolves","villagers"))</f>
      </c>
      <c r="P226" s="0" t="inlineStr">
        <is>
          <t xml:space="preserve"/>
        </is>
      </c>
      <c r="Q226" s="0">
        <f>IF(P226="","",IF(ROUND(P226,2)=5,"win","loss"))</f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>
        <f>IF(C227="","",IFERROR(LOOKUP(2,1/(($C$2:$C$1001=C227)*($Q$2:$Q$1001="win")),$O$2:$O$1001),""))</f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>
        <f>IF(N227="","",IF(OR(ISNUMBER(SEARCH("狼",N227)),ISNUMBER(SEARCH("石像鬼",N227)),ISNUMBER(SEARCH("恶灵骑士",N227)),ISNUMBER(SEARCH("黑蝙蝠",N227)),ISNUMBER(SEARCH("血月使徒",N227))),"werewolves","villagers"))</f>
      </c>
      <c r="P227" s="0" t="inlineStr">
        <is>
          <t xml:space="preserve"/>
        </is>
      </c>
      <c r="Q227" s="0">
        <f>IF(P227="","",IF(ROUND(P227,2)=5,"win","loss"))</f>
      </c>
      <c r="R227" s="0" t="inlineStr">
        <is>
          <t xml:space="preserve"/>
        </is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>
        <f>IF(C228="","",IFERROR(LOOKUP(2,1/(($C$2:$C$1001=C228)*($Q$2:$Q$1001="win")),$O$2:$O$1001),""))</f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>
        <f>IF(N228="","",IF(OR(ISNUMBER(SEARCH("狼",N228)),ISNUMBER(SEARCH("石像鬼",N228)),ISNUMBER(SEARCH("恶灵骑士",N228)),ISNUMBER(SEARCH("黑蝙蝠",N228)),ISNUMBER(SEARCH("血月使徒",N228))),"werewolves","villagers"))</f>
      </c>
      <c r="P228" s="0" t="inlineStr">
        <is>
          <t xml:space="preserve"/>
        </is>
      </c>
      <c r="Q228" s="0">
        <f>IF(P228="","",IF(ROUND(P228,2)=5,"win","loss"))</f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>
        <f>IF(C229="","",IFERROR(LOOKUP(2,1/(($C$2:$C$1001=C229)*($Q$2:$Q$1001="win")),$O$2:$O$1001),""))</f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>
        <f>IF(N229="","",IF(OR(ISNUMBER(SEARCH("狼",N229)),ISNUMBER(SEARCH("石像鬼",N229)),ISNUMBER(SEARCH("恶灵骑士",N229)),ISNUMBER(SEARCH("黑蝙蝠",N229)),ISNUMBER(SEARCH("血月使徒",N229))),"werewolves","villagers"))</f>
      </c>
      <c r="P229" s="0" t="inlineStr">
        <is>
          <t xml:space="preserve"/>
        </is>
      </c>
      <c r="Q229" s="0">
        <f>IF(P229="","",IF(ROUND(P229,2)=5,"win","loss"))</f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>
        <f>IF(C230="","",IFERROR(LOOKUP(2,1/(($C$2:$C$1001=C230)*($Q$2:$Q$1001="win")),$O$2:$O$1001),""))</f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>
        <f>IF(N230="","",IF(OR(ISNUMBER(SEARCH("狼",N230)),ISNUMBER(SEARCH("石像鬼",N230)),ISNUMBER(SEARCH("恶灵骑士",N230)),ISNUMBER(SEARCH("黑蝙蝠",N230)),ISNUMBER(SEARCH("血月使徒",N230))),"werewolves","villagers"))</f>
      </c>
      <c r="P230" s="0" t="inlineStr">
        <is>
          <t xml:space="preserve"/>
        </is>
      </c>
      <c r="Q230" s="0">
        <f>IF(P230="","",IF(ROUND(P230,2)=5,"win","loss"))</f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>
        <f>IF(C231="","",IFERROR(LOOKUP(2,1/(($C$2:$C$1001=C231)*($Q$2:$Q$1001="win")),$O$2:$O$1001),""))</f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>
        <f>IF(N231="","",IF(OR(ISNUMBER(SEARCH("狼",N231)),ISNUMBER(SEARCH("石像鬼",N231)),ISNUMBER(SEARCH("恶灵骑士",N231)),ISNUMBER(SEARCH("黑蝙蝠",N231)),ISNUMBER(SEARCH("血月使徒",N231))),"werewolves","villagers"))</f>
      </c>
      <c r="P231" s="0" t="inlineStr">
        <is>
          <t xml:space="preserve"/>
        </is>
      </c>
      <c r="Q231" s="0">
        <f>IF(P231="","",IF(ROUND(P231,2)=5,"win","loss"))</f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>
        <f>IF(C232="","",IFERROR(LOOKUP(2,1/(($C$2:$C$1001=C232)*($Q$2:$Q$1001="win")),$O$2:$O$1001),""))</f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>
        <f>IF(N232="","",IF(OR(ISNUMBER(SEARCH("狼",N232)),ISNUMBER(SEARCH("石像鬼",N232)),ISNUMBER(SEARCH("恶灵骑士",N232)),ISNUMBER(SEARCH("黑蝙蝠",N232)),ISNUMBER(SEARCH("血月使徒",N232))),"werewolves","villagers"))</f>
      </c>
      <c r="P232" s="0" t="inlineStr">
        <is>
          <t xml:space="preserve"/>
        </is>
      </c>
      <c r="Q232" s="0">
        <f>IF(P232="","",IF(ROUND(P232,2)=5,"win","loss"))</f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>
        <f>IF(C233="","",IFERROR(LOOKUP(2,1/(($C$2:$C$1001=C233)*($Q$2:$Q$1001="win")),$O$2:$O$1001),""))</f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>
        <f>IF(N233="","",IF(OR(ISNUMBER(SEARCH("狼",N233)),ISNUMBER(SEARCH("石像鬼",N233)),ISNUMBER(SEARCH("恶灵骑士",N233)),ISNUMBER(SEARCH("黑蝙蝠",N233)),ISNUMBER(SEARCH("血月使徒",N233))),"werewolves","villagers"))</f>
      </c>
      <c r="P233" s="0" t="inlineStr">
        <is>
          <t xml:space="preserve"/>
        </is>
      </c>
      <c r="Q233" s="0">
        <f>IF(P233="","",IF(ROUND(P233,2)=5,"win","loss"))</f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>
        <f>IF(C234="","",IFERROR(LOOKUP(2,1/(($C$2:$C$1001=C234)*($Q$2:$Q$1001="win")),$O$2:$O$1001),""))</f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>
        <f>IF(N234="","",IF(OR(ISNUMBER(SEARCH("狼",N234)),ISNUMBER(SEARCH("石像鬼",N234)),ISNUMBER(SEARCH("恶灵骑士",N234)),ISNUMBER(SEARCH("黑蝙蝠",N234)),ISNUMBER(SEARCH("血月使徒",N234))),"werewolves","villagers"))</f>
      </c>
      <c r="P234" s="0" t="inlineStr">
        <is>
          <t xml:space="preserve"/>
        </is>
      </c>
      <c r="Q234" s="0">
        <f>IF(P234="","",IF(ROUND(P234,2)=5,"win","loss"))</f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>
        <f>IF(C235="","",IFERROR(LOOKUP(2,1/(($C$2:$C$1001=C235)*($Q$2:$Q$1001="win")),$O$2:$O$1001),""))</f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>
        <f>IF(N235="","",IF(OR(ISNUMBER(SEARCH("狼",N235)),ISNUMBER(SEARCH("石像鬼",N235)),ISNUMBER(SEARCH("恶灵骑士",N235)),ISNUMBER(SEARCH("黑蝙蝠",N235)),ISNUMBER(SEARCH("血月使徒",N235))),"werewolves","villagers"))</f>
      </c>
      <c r="P235" s="0" t="inlineStr">
        <is>
          <t xml:space="preserve"/>
        </is>
      </c>
      <c r="Q235" s="0">
        <f>IF(P235="","",IF(ROUND(P235,2)=5,"win","loss"))</f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>
        <f>IF(C236="","",IFERROR(LOOKUP(2,1/(($C$2:$C$1001=C236)*($Q$2:$Q$1001="win")),$O$2:$O$1001),""))</f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>
        <f>IF(N236="","",IF(OR(ISNUMBER(SEARCH("狼",N236)),ISNUMBER(SEARCH("石像鬼",N236)),ISNUMBER(SEARCH("恶灵骑士",N236)),ISNUMBER(SEARCH("黑蝙蝠",N236)),ISNUMBER(SEARCH("血月使徒",N236))),"werewolves","villagers"))</f>
      </c>
      <c r="P236" s="0" t="inlineStr">
        <is>
          <t xml:space="preserve"/>
        </is>
      </c>
      <c r="Q236" s="0">
        <f>IF(P236="","",IF(ROUND(P236,2)=5,"win","loss"))</f>
      </c>
      <c r="R236" s="0" t="inlineStr">
        <is>
          <t xml:space="preserve"/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>
        <f>IF(C237="","",IFERROR(LOOKUP(2,1/(($C$2:$C$1001=C237)*($Q$2:$Q$1001="win")),$O$2:$O$1001),""))</f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>
        <f>IF(N237="","",IF(OR(ISNUMBER(SEARCH("狼",N237)),ISNUMBER(SEARCH("石像鬼",N237)),ISNUMBER(SEARCH("恶灵骑士",N237)),ISNUMBER(SEARCH("黑蝙蝠",N237)),ISNUMBER(SEARCH("血月使徒",N237))),"werewolves","villagers"))</f>
      </c>
      <c r="P237" s="0" t="inlineStr">
        <is>
          <t xml:space="preserve"/>
        </is>
      </c>
      <c r="Q237" s="0">
        <f>IF(P237="","",IF(ROUND(P237,2)=5,"win","loss"))</f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>
        <f>IF(C238="","",IFERROR(LOOKUP(2,1/(($C$2:$C$1001=C238)*($Q$2:$Q$1001="win")),$O$2:$O$1001),""))</f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>
        <f>IF(N238="","",IF(OR(ISNUMBER(SEARCH("狼",N238)),ISNUMBER(SEARCH("石像鬼",N238)),ISNUMBER(SEARCH("恶灵骑士",N238)),ISNUMBER(SEARCH("黑蝙蝠",N238)),ISNUMBER(SEARCH("血月使徒",N238))),"werewolves","villagers"))</f>
      </c>
      <c r="P238" s="0" t="inlineStr">
        <is>
          <t xml:space="preserve"/>
        </is>
      </c>
      <c r="Q238" s="0">
        <f>IF(P238="","",IF(ROUND(P238,2)=5,"win","loss"))</f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>
        <f>IF(C239="","",IFERROR(LOOKUP(2,1/(($C$2:$C$1001=C239)*($Q$2:$Q$1001="win")),$O$2:$O$1001),""))</f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>
        <f>IF(N239="","",IF(OR(ISNUMBER(SEARCH("狼",N239)),ISNUMBER(SEARCH("石像鬼",N239)),ISNUMBER(SEARCH("恶灵骑士",N239)),ISNUMBER(SEARCH("黑蝙蝠",N239)),ISNUMBER(SEARCH("血月使徒",N239))),"werewolves","villagers"))</f>
      </c>
      <c r="P239" s="0" t="inlineStr">
        <is>
          <t xml:space="preserve"/>
        </is>
      </c>
      <c r="Q239" s="0">
        <f>IF(P239="","",IF(ROUND(P239,2)=5,"win","loss"))</f>
      </c>
      <c r="R239" s="0" t="inlineStr">
        <is>
          <t xml:space="preserve"/>
        </is>
      </c>
      <c r="S239" s="0" t="inlineStr">
        <is>
          <t xml:space="preserve"/>
        </is>
      </c>
      <c r="T239" s="0" t="inlineStr">
        <is>
          <t xml:space="preserve"/>
        </is>
      </c>
      <c r="U239" s="0" t="inlineStr">
        <is>
          <t xml:space="preserve"/>
        </is>
      </c>
      <c r="V239" s="0" t="inlineStr">
        <is>
          <t xml:space="preserve"/>
        </is>
      </c>
      <c r="W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>
        <f>IF(C240="","",IFERROR(LOOKUP(2,1/(($C$2:$C$1001=C240)*($Q$2:$Q$1001="win")),$O$2:$O$1001),""))</f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>
        <f>IF(N240="","",IF(OR(ISNUMBER(SEARCH("狼",N240)),ISNUMBER(SEARCH("石像鬼",N240)),ISNUMBER(SEARCH("恶灵骑士",N240)),ISNUMBER(SEARCH("黑蝙蝠",N240)),ISNUMBER(SEARCH("血月使徒",N240))),"werewolves","villagers"))</f>
      </c>
      <c r="P240" s="0" t="inlineStr">
        <is>
          <t xml:space="preserve"/>
        </is>
      </c>
      <c r="Q240" s="0">
        <f>IF(P240="","",IF(ROUND(P240,2)=5,"win","loss"))</f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>
        <f>IF(C241="","",IFERROR(LOOKUP(2,1/(($C$2:$C$1001=C241)*($Q$2:$Q$1001="win")),$O$2:$O$1001),""))</f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>
        <f>IF(N241="","",IF(OR(ISNUMBER(SEARCH("狼",N241)),ISNUMBER(SEARCH("石像鬼",N241)),ISNUMBER(SEARCH("恶灵骑士",N241)),ISNUMBER(SEARCH("黑蝙蝠",N241)),ISNUMBER(SEARCH("血月使徒",N241))),"werewolves","villagers"))</f>
      </c>
      <c r="P241" s="0" t="inlineStr">
        <is>
          <t xml:space="preserve"/>
        </is>
      </c>
      <c r="Q241" s="0">
        <f>IF(P241="","",IF(ROUND(P241,2)=5,"win","loss"))</f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>
        <f>IF(C242="","",IFERROR(LOOKUP(2,1/(($C$2:$C$1001=C242)*($Q$2:$Q$1001="win")),$O$2:$O$1001),""))</f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>
        <f>IF(N242="","",IF(OR(ISNUMBER(SEARCH("狼",N242)),ISNUMBER(SEARCH("石像鬼",N242)),ISNUMBER(SEARCH("恶灵骑士",N242)),ISNUMBER(SEARCH("黑蝙蝠",N242)),ISNUMBER(SEARCH("血月使徒",N242))),"werewolves","villagers"))</f>
      </c>
      <c r="P242" s="0" t="inlineStr">
        <is>
          <t xml:space="preserve"/>
        </is>
      </c>
      <c r="Q242" s="0">
        <f>IF(P242="","",IF(ROUND(P242,2)=5,"win","loss"))</f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>
        <f>IF(C243="","",IFERROR(LOOKUP(2,1/(($C$2:$C$1001=C243)*($Q$2:$Q$1001="win")),$O$2:$O$1001),""))</f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>
        <f>IF(N243="","",IF(OR(ISNUMBER(SEARCH("狼",N243)),ISNUMBER(SEARCH("石像鬼",N243)),ISNUMBER(SEARCH("恶灵骑士",N243)),ISNUMBER(SEARCH("黑蝙蝠",N243)),ISNUMBER(SEARCH("血月使徒",N243))),"werewolves","villagers"))</f>
      </c>
      <c r="P243" s="0" t="inlineStr">
        <is>
          <t xml:space="preserve"/>
        </is>
      </c>
      <c r="Q243" s="0">
        <f>IF(P243="","",IF(ROUND(P243,2)=5,"win","loss"))</f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>
        <f>IF(C244="","",IFERROR(LOOKUP(2,1/(($C$2:$C$1001=C244)*($Q$2:$Q$1001="win")),$O$2:$O$1001),""))</f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>
        <f>IF(N244="","",IF(OR(ISNUMBER(SEARCH("狼",N244)),ISNUMBER(SEARCH("石像鬼",N244)),ISNUMBER(SEARCH("恶灵骑士",N244)),ISNUMBER(SEARCH("黑蝙蝠",N244)),ISNUMBER(SEARCH("血月使徒",N244))),"werewolves","villagers"))</f>
      </c>
      <c r="P244" s="0" t="inlineStr">
        <is>
          <t xml:space="preserve"/>
        </is>
      </c>
      <c r="Q244" s="0">
        <f>IF(P244="","",IF(ROUND(P244,2)=5,"win","loss"))</f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>
        <f>IF(C245="","",IFERROR(LOOKUP(2,1/(($C$2:$C$1001=C245)*($Q$2:$Q$1001="win")),$O$2:$O$1001),""))</f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>
        <f>IF(N245="","",IF(OR(ISNUMBER(SEARCH("狼",N245)),ISNUMBER(SEARCH("石像鬼",N245)),ISNUMBER(SEARCH("恶灵骑士",N245)),ISNUMBER(SEARCH("黑蝙蝠",N245)),ISNUMBER(SEARCH("血月使徒",N245))),"werewolves","villagers"))</f>
      </c>
      <c r="P245" s="0" t="inlineStr">
        <is>
          <t xml:space="preserve"/>
        </is>
      </c>
      <c r="Q245" s="0">
        <f>IF(P245="","",IF(ROUND(P245,2)=5,"win","loss"))</f>
      </c>
      <c r="R245" s="0" t="inlineStr">
        <is>
          <t xml:space="preserve"/>
        </is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>
        <f>IF(C246="","",IFERROR(LOOKUP(2,1/(($C$2:$C$1001=C246)*($Q$2:$Q$1001="win")),$O$2:$O$1001),""))</f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>
        <f>IF(N246="","",IF(OR(ISNUMBER(SEARCH("狼",N246)),ISNUMBER(SEARCH("石像鬼",N246)),ISNUMBER(SEARCH("恶灵骑士",N246)),ISNUMBER(SEARCH("黑蝙蝠",N246)),ISNUMBER(SEARCH("血月使徒",N246))),"werewolves","villagers"))</f>
      </c>
      <c r="P246" s="0" t="inlineStr">
        <is>
          <t xml:space="preserve"/>
        </is>
      </c>
      <c r="Q246" s="0">
        <f>IF(P246="","",IF(ROUND(P246,2)=5,"win","loss"))</f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>
        <f>IF(C247="","",IFERROR(LOOKUP(2,1/(($C$2:$C$1001=C247)*($Q$2:$Q$1001="win")),$O$2:$O$1001),""))</f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>
        <f>IF(N247="","",IF(OR(ISNUMBER(SEARCH("狼",N247)),ISNUMBER(SEARCH("石像鬼",N247)),ISNUMBER(SEARCH("恶灵骑士",N247)),ISNUMBER(SEARCH("黑蝙蝠",N247)),ISNUMBER(SEARCH("血月使徒",N247))),"werewolves","villagers"))</f>
      </c>
      <c r="P247" s="0" t="inlineStr">
        <is>
          <t xml:space="preserve"/>
        </is>
      </c>
      <c r="Q247" s="0">
        <f>IF(P247="","",IF(ROUND(P247,2)=5,"win","loss"))</f>
      </c>
      <c r="R247" s="0" t="inlineStr">
        <is>
          <t xml:space="preserve"/>
        </is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>
        <f>IF(C248="","",IFERROR(LOOKUP(2,1/(($C$2:$C$1001=C248)*($Q$2:$Q$1001="win")),$O$2:$O$1001),""))</f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>
        <f>IF(N248="","",IF(OR(ISNUMBER(SEARCH("狼",N248)),ISNUMBER(SEARCH("石像鬼",N248)),ISNUMBER(SEARCH("恶灵骑士",N248)),ISNUMBER(SEARCH("黑蝙蝠",N248)),ISNUMBER(SEARCH("血月使徒",N248))),"werewolves","villagers"))</f>
      </c>
      <c r="P248" s="0" t="inlineStr">
        <is>
          <t xml:space="preserve"/>
        </is>
      </c>
      <c r="Q248" s="0">
        <f>IF(P248="","",IF(ROUND(P248,2)=5,"win","loss"))</f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>
        <f>IF(C249="","",IFERROR(LOOKUP(2,1/(($C$2:$C$1001=C249)*($Q$2:$Q$1001="win")),$O$2:$O$1001),""))</f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>
        <f>IF(N249="","",IF(OR(ISNUMBER(SEARCH("狼",N249)),ISNUMBER(SEARCH("石像鬼",N249)),ISNUMBER(SEARCH("恶灵骑士",N249)),ISNUMBER(SEARCH("黑蝙蝠",N249)),ISNUMBER(SEARCH("血月使徒",N249))),"werewolves","villagers"))</f>
      </c>
      <c r="P249" s="0" t="inlineStr">
        <is>
          <t xml:space="preserve"/>
        </is>
      </c>
      <c r="Q249" s="0">
        <f>IF(P249="","",IF(ROUND(P249,2)=5,"win","loss"))</f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>
        <f>IF(C250="","",IFERROR(LOOKUP(2,1/(($C$2:$C$1001=C250)*($Q$2:$Q$1001="win")),$O$2:$O$1001),""))</f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>
        <f>IF(N250="","",IF(OR(ISNUMBER(SEARCH("狼",N250)),ISNUMBER(SEARCH("石像鬼",N250)),ISNUMBER(SEARCH("恶灵骑士",N250)),ISNUMBER(SEARCH("黑蝙蝠",N250)),ISNUMBER(SEARCH("血月使徒",N250))),"werewolves","villagers"))</f>
      </c>
      <c r="P250" s="0" t="inlineStr">
        <is>
          <t xml:space="preserve"/>
        </is>
      </c>
      <c r="Q250" s="0">
        <f>IF(P250="","",IF(ROUND(P250,2)=5,"win","loss"))</f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>
        <f>IF(C251="","",IFERROR(LOOKUP(2,1/(($C$2:$C$1001=C251)*($Q$2:$Q$1001="win")),$O$2:$O$1001),""))</f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>
        <f>IF(N251="","",IF(OR(ISNUMBER(SEARCH("狼",N251)),ISNUMBER(SEARCH("石像鬼",N251)),ISNUMBER(SEARCH("恶灵骑士",N251)),ISNUMBER(SEARCH("黑蝙蝠",N251)),ISNUMBER(SEARCH("血月使徒",N251))),"werewolves","villagers"))</f>
      </c>
      <c r="P251" s="0" t="inlineStr">
        <is>
          <t xml:space="preserve"/>
        </is>
      </c>
      <c r="Q251" s="0">
        <f>IF(P251="","",IF(ROUND(P251,2)=5,"win","loss"))</f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>
        <f>IF(C252="","",IFERROR(LOOKUP(2,1/(($C$2:$C$1001=C252)*($Q$2:$Q$1001="win")),$O$2:$O$1001),""))</f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>
        <f>IF(N252="","",IF(OR(ISNUMBER(SEARCH("狼",N252)),ISNUMBER(SEARCH("石像鬼",N252)),ISNUMBER(SEARCH("恶灵骑士",N252)),ISNUMBER(SEARCH("黑蝙蝠",N252)),ISNUMBER(SEARCH("血月使徒",N252))),"werewolves","villagers"))</f>
      </c>
      <c r="P252" s="0" t="inlineStr">
        <is>
          <t xml:space="preserve"/>
        </is>
      </c>
      <c r="Q252" s="0">
        <f>IF(P252="","",IF(ROUND(P252,2)=5,"win","loss"))</f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>
        <f>IF(C253="","",IFERROR(LOOKUP(2,1/(($C$2:$C$1001=C253)*($Q$2:$Q$1001="win")),$O$2:$O$1001),""))</f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>
        <f>IF(N253="","",IF(OR(ISNUMBER(SEARCH("狼",N253)),ISNUMBER(SEARCH("石像鬼",N253)),ISNUMBER(SEARCH("恶灵骑士",N253)),ISNUMBER(SEARCH("黑蝙蝠",N253)),ISNUMBER(SEARCH("血月使徒",N253))),"werewolves","villagers"))</f>
      </c>
      <c r="P253" s="0" t="inlineStr">
        <is>
          <t xml:space="preserve"/>
        </is>
      </c>
      <c r="Q253" s="0">
        <f>IF(P253="","",IF(ROUND(P253,2)=5,"win","loss"))</f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>
        <f>IF(C254="","",IFERROR(LOOKUP(2,1/(($C$2:$C$1001=C254)*($Q$2:$Q$1001="win")),$O$2:$O$1001),""))</f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>
        <f>IF(N254="","",IF(OR(ISNUMBER(SEARCH("狼",N254)),ISNUMBER(SEARCH("石像鬼",N254)),ISNUMBER(SEARCH("恶灵骑士",N254)),ISNUMBER(SEARCH("黑蝙蝠",N254)),ISNUMBER(SEARCH("血月使徒",N254))),"werewolves","villagers"))</f>
      </c>
      <c r="P254" s="0" t="inlineStr">
        <is>
          <t xml:space="preserve"/>
        </is>
      </c>
      <c r="Q254" s="0">
        <f>IF(P254="","",IF(ROUND(P254,2)=5,"win","loss"))</f>
      </c>
      <c r="R254" s="0" t="inlineStr">
        <is>
          <t xml:space="preserve"/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>
        <f>IF(C255="","",IFERROR(LOOKUP(2,1/(($C$2:$C$1001=C255)*($Q$2:$Q$1001="win")),$O$2:$O$1001),""))</f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>
        <f>IF(N255="","",IF(OR(ISNUMBER(SEARCH("狼",N255)),ISNUMBER(SEARCH("石像鬼",N255)),ISNUMBER(SEARCH("恶灵骑士",N255)),ISNUMBER(SEARCH("黑蝙蝠",N255)),ISNUMBER(SEARCH("血月使徒",N255))),"werewolves","villagers"))</f>
      </c>
      <c r="P255" s="0" t="inlineStr">
        <is>
          <t xml:space="preserve"/>
        </is>
      </c>
      <c r="Q255" s="0">
        <f>IF(P255="","",IF(ROUND(P255,2)=5,"win","loss"))</f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>
        <f>IF(C256="","",IFERROR(LOOKUP(2,1/(($C$2:$C$1001=C256)*($Q$2:$Q$1001="win")),$O$2:$O$1001),""))</f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>
        <f>IF(N256="","",IF(OR(ISNUMBER(SEARCH("狼",N256)),ISNUMBER(SEARCH("石像鬼",N256)),ISNUMBER(SEARCH("恶灵骑士",N256)),ISNUMBER(SEARCH("黑蝙蝠",N256)),ISNUMBER(SEARCH("血月使徒",N256))),"werewolves","villagers"))</f>
      </c>
      <c r="P256" s="0" t="inlineStr">
        <is>
          <t xml:space="preserve"/>
        </is>
      </c>
      <c r="Q256" s="0">
        <f>IF(P256="","",IF(ROUND(P256,2)=5,"win","loss"))</f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>
        <f>IF(C257="","",IFERROR(LOOKUP(2,1/(($C$2:$C$1001=C257)*($Q$2:$Q$1001="win")),$O$2:$O$1001),""))</f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>
        <f>IF(N257="","",IF(OR(ISNUMBER(SEARCH("狼",N257)),ISNUMBER(SEARCH("石像鬼",N257)),ISNUMBER(SEARCH("恶灵骑士",N257)),ISNUMBER(SEARCH("黑蝙蝠",N257)),ISNUMBER(SEARCH("血月使徒",N257))),"werewolves","villagers"))</f>
      </c>
      <c r="P257" s="0" t="inlineStr">
        <is>
          <t xml:space="preserve"/>
        </is>
      </c>
      <c r="Q257" s="0">
        <f>IF(P257="","",IF(ROUND(P257,2)=5,"win","loss"))</f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>
        <f>IF(C258="","",IFERROR(LOOKUP(2,1/(($C$2:$C$1001=C258)*($Q$2:$Q$1001="win")),$O$2:$O$1001),""))</f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>
        <f>IF(N258="","",IF(OR(ISNUMBER(SEARCH("狼",N258)),ISNUMBER(SEARCH("石像鬼",N258)),ISNUMBER(SEARCH("恶灵骑士",N258)),ISNUMBER(SEARCH("黑蝙蝠",N258)),ISNUMBER(SEARCH("血月使徒",N258))),"werewolves","villagers"))</f>
      </c>
      <c r="P258" s="0" t="inlineStr">
        <is>
          <t xml:space="preserve"/>
        </is>
      </c>
      <c r="Q258" s="0">
        <f>IF(P258="","",IF(ROUND(P258,2)=5,"win","loss"))</f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>
        <f>IF(C259="","",IFERROR(LOOKUP(2,1/(($C$2:$C$1001=C259)*($Q$2:$Q$1001="win")),$O$2:$O$1001),""))</f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>
        <f>IF(N259="","",IF(OR(ISNUMBER(SEARCH("狼",N259)),ISNUMBER(SEARCH("石像鬼",N259)),ISNUMBER(SEARCH("恶灵骑士",N259)),ISNUMBER(SEARCH("黑蝙蝠",N259)),ISNUMBER(SEARCH("血月使徒",N259))),"werewolves","villagers"))</f>
      </c>
      <c r="P259" s="0" t="inlineStr">
        <is>
          <t xml:space="preserve"/>
        </is>
      </c>
      <c r="Q259" s="0">
        <f>IF(P259="","",IF(ROUND(P259,2)=5,"win","loss"))</f>
      </c>
      <c r="R259" s="0" t="inlineStr">
        <is>
          <t xml:space="preserve"/>
        </is>
      </c>
      <c r="S259" s="0" t="inlineStr">
        <is>
          <t xml:space="preserve"/>
        </is>
      </c>
      <c r="T259" s="0" t="inlineStr">
        <is>
          <t xml:space="preserve"/>
        </is>
      </c>
      <c r="U259" s="0" t="inlineStr">
        <is>
          <t xml:space="preserve"/>
        </is>
      </c>
      <c r="V259" s="0" t="inlineStr">
        <is>
          <t xml:space="preserve"/>
        </is>
      </c>
      <c r="W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>
        <f>IF(C260="","",IFERROR(LOOKUP(2,1/(($C$2:$C$1001=C260)*($Q$2:$Q$1001="win")),$O$2:$O$1001),""))</f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>
        <f>IF(N260="","",IF(OR(ISNUMBER(SEARCH("狼",N260)),ISNUMBER(SEARCH("石像鬼",N260)),ISNUMBER(SEARCH("恶灵骑士",N260)),ISNUMBER(SEARCH("黑蝙蝠",N260)),ISNUMBER(SEARCH("血月使徒",N260))),"werewolves","villagers"))</f>
      </c>
      <c r="P260" s="0" t="inlineStr">
        <is>
          <t xml:space="preserve"/>
        </is>
      </c>
      <c r="Q260" s="0">
        <f>IF(P260="","",IF(ROUND(P260,2)=5,"win","loss"))</f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>
        <f>IF(C261="","",IFERROR(LOOKUP(2,1/(($C$2:$C$1001=C261)*($Q$2:$Q$1001="win")),$O$2:$O$1001),""))</f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>
        <f>IF(N261="","",IF(OR(ISNUMBER(SEARCH("狼",N261)),ISNUMBER(SEARCH("石像鬼",N261)),ISNUMBER(SEARCH("恶灵骑士",N261)),ISNUMBER(SEARCH("黑蝙蝠",N261)),ISNUMBER(SEARCH("血月使徒",N261))),"werewolves","villagers"))</f>
      </c>
      <c r="P261" s="0" t="inlineStr">
        <is>
          <t xml:space="preserve"/>
        </is>
      </c>
      <c r="Q261" s="0">
        <f>IF(P261="","",IF(ROUND(P261,2)=5,"win","loss"))</f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>
        <f>IF(C262="","",IFERROR(LOOKUP(2,1/(($C$2:$C$1001=C262)*($Q$2:$Q$1001="win")),$O$2:$O$1001),""))</f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>
        <f>IF(N262="","",IF(OR(ISNUMBER(SEARCH("狼",N262)),ISNUMBER(SEARCH("石像鬼",N262)),ISNUMBER(SEARCH("恶灵骑士",N262)),ISNUMBER(SEARCH("黑蝙蝠",N262)),ISNUMBER(SEARCH("血月使徒",N262))),"werewolves","villagers"))</f>
      </c>
      <c r="P262" s="0" t="inlineStr">
        <is>
          <t xml:space="preserve"/>
        </is>
      </c>
      <c r="Q262" s="0">
        <f>IF(P262="","",IF(ROUND(P262,2)=5,"win","loss"))</f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>
        <f>IF(C263="","",IFERROR(LOOKUP(2,1/(($C$2:$C$1001=C263)*($Q$2:$Q$1001="win")),$O$2:$O$1001),""))</f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>
        <f>IF(N263="","",IF(OR(ISNUMBER(SEARCH("狼",N263)),ISNUMBER(SEARCH("石像鬼",N263)),ISNUMBER(SEARCH("恶灵骑士",N263)),ISNUMBER(SEARCH("黑蝙蝠",N263)),ISNUMBER(SEARCH("血月使徒",N263))),"werewolves","villagers"))</f>
      </c>
      <c r="P263" s="0" t="inlineStr">
        <is>
          <t xml:space="preserve"/>
        </is>
      </c>
      <c r="Q263" s="0">
        <f>IF(P263="","",IF(ROUND(P263,2)=5,"win","loss"))</f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>
        <f>IF(C264="","",IFERROR(LOOKUP(2,1/(($C$2:$C$1001=C264)*($Q$2:$Q$1001="win")),$O$2:$O$1001),""))</f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>
        <f>IF(N264="","",IF(OR(ISNUMBER(SEARCH("狼",N264)),ISNUMBER(SEARCH("石像鬼",N264)),ISNUMBER(SEARCH("恶灵骑士",N264)),ISNUMBER(SEARCH("黑蝙蝠",N264)),ISNUMBER(SEARCH("血月使徒",N264))),"werewolves","villagers"))</f>
      </c>
      <c r="P264" s="0" t="inlineStr">
        <is>
          <t xml:space="preserve"/>
        </is>
      </c>
      <c r="Q264" s="0">
        <f>IF(P264="","",IF(ROUND(P264,2)=5,"win","loss"))</f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>
        <f>IF(C265="","",IFERROR(LOOKUP(2,1/(($C$2:$C$1001=C265)*($Q$2:$Q$1001="win")),$O$2:$O$1001),""))</f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>
        <f>IF(N265="","",IF(OR(ISNUMBER(SEARCH("狼",N265)),ISNUMBER(SEARCH("石像鬼",N265)),ISNUMBER(SEARCH("恶灵骑士",N265)),ISNUMBER(SEARCH("黑蝙蝠",N265)),ISNUMBER(SEARCH("血月使徒",N265))),"werewolves","villagers"))</f>
      </c>
      <c r="P265" s="0" t="inlineStr">
        <is>
          <t xml:space="preserve"/>
        </is>
      </c>
      <c r="Q265" s="0">
        <f>IF(P265="","",IF(ROUND(P265,2)=5,"win","loss"))</f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>
        <f>IF(C266="","",IFERROR(LOOKUP(2,1/(($C$2:$C$1001=C266)*($Q$2:$Q$1001="win")),$O$2:$O$1001),""))</f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>
        <f>IF(N266="","",IF(OR(ISNUMBER(SEARCH("狼",N266)),ISNUMBER(SEARCH("石像鬼",N266)),ISNUMBER(SEARCH("恶灵骑士",N266)),ISNUMBER(SEARCH("黑蝙蝠",N266)),ISNUMBER(SEARCH("血月使徒",N266))),"werewolves","villagers"))</f>
      </c>
      <c r="P266" s="0" t="inlineStr">
        <is>
          <t xml:space="preserve"/>
        </is>
      </c>
      <c r="Q266" s="0">
        <f>IF(P266="","",IF(ROUND(P266,2)=5,"win","loss"))</f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>
        <f>IF(C267="","",IFERROR(LOOKUP(2,1/(($C$2:$C$1001=C267)*($Q$2:$Q$1001="win")),$O$2:$O$1001),""))</f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>
        <f>IF(N267="","",IF(OR(ISNUMBER(SEARCH("狼",N267)),ISNUMBER(SEARCH("石像鬼",N267)),ISNUMBER(SEARCH("恶灵骑士",N267)),ISNUMBER(SEARCH("黑蝙蝠",N267)),ISNUMBER(SEARCH("血月使徒",N267))),"werewolves","villagers"))</f>
      </c>
      <c r="P267" s="0" t="inlineStr">
        <is>
          <t xml:space="preserve"/>
        </is>
      </c>
      <c r="Q267" s="0">
        <f>IF(P267="","",IF(ROUND(P267,2)=5,"win","loss"))</f>
      </c>
      <c r="R267" s="0" t="inlineStr">
        <is>
          <t xml:space="preserve"/>
        </is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>
        <f>IF(C268="","",IFERROR(LOOKUP(2,1/(($C$2:$C$1001=C268)*($Q$2:$Q$1001="win")),$O$2:$O$1001),""))</f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>
        <f>IF(N268="","",IF(OR(ISNUMBER(SEARCH("狼",N268)),ISNUMBER(SEARCH("石像鬼",N268)),ISNUMBER(SEARCH("恶灵骑士",N268)),ISNUMBER(SEARCH("黑蝙蝠",N268)),ISNUMBER(SEARCH("血月使徒",N268))),"werewolves","villagers"))</f>
      </c>
      <c r="P268" s="0" t="inlineStr">
        <is>
          <t xml:space="preserve"/>
        </is>
      </c>
      <c r="Q268" s="0">
        <f>IF(P268="","",IF(ROUND(P268,2)=5,"win","loss"))</f>
      </c>
      <c r="R268" s="0" t="inlineStr">
        <is>
          <t xml:space="preserve"/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>
        <f>IF(C269="","",IFERROR(LOOKUP(2,1/(($C$2:$C$1001=C269)*($Q$2:$Q$1001="win")),$O$2:$O$1001),""))</f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>
        <f>IF(N269="","",IF(OR(ISNUMBER(SEARCH("狼",N269)),ISNUMBER(SEARCH("石像鬼",N269)),ISNUMBER(SEARCH("恶灵骑士",N269)),ISNUMBER(SEARCH("黑蝙蝠",N269)),ISNUMBER(SEARCH("血月使徒",N269))),"werewolves","villagers"))</f>
      </c>
      <c r="P269" s="0" t="inlineStr">
        <is>
          <t xml:space="preserve"/>
        </is>
      </c>
      <c r="Q269" s="0">
        <f>IF(P269="","",IF(ROUND(P269,2)=5,"win","loss"))</f>
      </c>
      <c r="R269" s="0" t="inlineStr">
        <is>
          <t xml:space="preserve"/>
        </is>
      </c>
      <c r="S269" s="0" t="inlineStr">
        <is>
          <t xml:space="preserve"/>
        </is>
      </c>
      <c r="T269" s="0" t="inlineStr">
        <is>
          <t xml:space="preserve"/>
        </is>
      </c>
      <c r="U269" s="0" t="inlineStr">
        <is>
          <t xml:space="preserve"/>
        </is>
      </c>
      <c r="V269" s="0" t="inlineStr">
        <is>
          <t xml:space="preserve"/>
        </is>
      </c>
      <c r="W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>
        <f>IF(C270="","",IFERROR(LOOKUP(2,1/(($C$2:$C$1001=C270)*($Q$2:$Q$1001="win")),$O$2:$O$1001),""))</f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>
        <f>IF(N270="","",IF(OR(ISNUMBER(SEARCH("狼",N270)),ISNUMBER(SEARCH("石像鬼",N270)),ISNUMBER(SEARCH("恶灵骑士",N270)),ISNUMBER(SEARCH("黑蝙蝠",N270)),ISNUMBER(SEARCH("血月使徒",N270))),"werewolves","villagers"))</f>
      </c>
      <c r="P270" s="0" t="inlineStr">
        <is>
          <t xml:space="preserve"/>
        </is>
      </c>
      <c r="Q270" s="0">
        <f>IF(P270="","",IF(ROUND(P270,2)=5,"win","loss"))</f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>
        <f>IF(C271="","",IFERROR(LOOKUP(2,1/(($C$2:$C$1001=C271)*($Q$2:$Q$1001="win")),$O$2:$O$1001),""))</f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>
        <f>IF(N271="","",IF(OR(ISNUMBER(SEARCH("狼",N271)),ISNUMBER(SEARCH("石像鬼",N271)),ISNUMBER(SEARCH("恶灵骑士",N271)),ISNUMBER(SEARCH("黑蝙蝠",N271)),ISNUMBER(SEARCH("血月使徒",N271))),"werewolves","villagers"))</f>
      </c>
      <c r="P271" s="0" t="inlineStr">
        <is>
          <t xml:space="preserve"/>
        </is>
      </c>
      <c r="Q271" s="0">
        <f>IF(P271="","",IF(ROUND(P271,2)=5,"win","loss"))</f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>
        <f>IF(C272="","",IFERROR(LOOKUP(2,1/(($C$2:$C$1001=C272)*($Q$2:$Q$1001="win")),$O$2:$O$1001),""))</f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>
        <f>IF(N272="","",IF(OR(ISNUMBER(SEARCH("狼",N272)),ISNUMBER(SEARCH("石像鬼",N272)),ISNUMBER(SEARCH("恶灵骑士",N272)),ISNUMBER(SEARCH("黑蝙蝠",N272)),ISNUMBER(SEARCH("血月使徒",N272))),"werewolves","villagers"))</f>
      </c>
      <c r="P272" s="0" t="inlineStr">
        <is>
          <t xml:space="preserve"/>
        </is>
      </c>
      <c r="Q272" s="0">
        <f>IF(P272="","",IF(ROUND(P272,2)=5,"win","loss"))</f>
      </c>
      <c r="R272" s="0" t="inlineStr">
        <is>
          <t xml:space="preserve"/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>
        <f>IF(C273="","",IFERROR(LOOKUP(2,1/(($C$2:$C$1001=C273)*($Q$2:$Q$1001="win")),$O$2:$O$1001),""))</f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>
        <f>IF(N273="","",IF(OR(ISNUMBER(SEARCH("狼",N273)),ISNUMBER(SEARCH("石像鬼",N273)),ISNUMBER(SEARCH("恶灵骑士",N273)),ISNUMBER(SEARCH("黑蝙蝠",N273)),ISNUMBER(SEARCH("血月使徒",N273))),"werewolves","villagers"))</f>
      </c>
      <c r="P273" s="0" t="inlineStr">
        <is>
          <t xml:space="preserve"/>
        </is>
      </c>
      <c r="Q273" s="0">
        <f>IF(P273="","",IF(ROUND(P273,2)=5,"win","loss"))</f>
      </c>
      <c r="R273" s="0" t="inlineStr">
        <is>
          <t xml:space="preserve"/>
        </is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>
        <f>IF(C274="","",IFERROR(LOOKUP(2,1/(($C$2:$C$1001=C274)*($Q$2:$Q$1001="win")),$O$2:$O$1001),""))</f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>
        <f>IF(N274="","",IF(OR(ISNUMBER(SEARCH("狼",N274)),ISNUMBER(SEARCH("石像鬼",N274)),ISNUMBER(SEARCH("恶灵骑士",N274)),ISNUMBER(SEARCH("黑蝙蝠",N274)),ISNUMBER(SEARCH("血月使徒",N274))),"werewolves","villagers"))</f>
      </c>
      <c r="P274" s="0" t="inlineStr">
        <is>
          <t xml:space="preserve"/>
        </is>
      </c>
      <c r="Q274" s="0">
        <f>IF(P274="","",IF(ROUND(P274,2)=5,"win","loss"))</f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>
        <f>IF(C275="","",IFERROR(LOOKUP(2,1/(($C$2:$C$1001=C275)*($Q$2:$Q$1001="win")),$O$2:$O$1001),""))</f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>
        <f>IF(N275="","",IF(OR(ISNUMBER(SEARCH("狼",N275)),ISNUMBER(SEARCH("石像鬼",N275)),ISNUMBER(SEARCH("恶灵骑士",N275)),ISNUMBER(SEARCH("黑蝙蝠",N275)),ISNUMBER(SEARCH("血月使徒",N275))),"werewolves","villagers"))</f>
      </c>
      <c r="P275" s="0" t="inlineStr">
        <is>
          <t xml:space="preserve"/>
        </is>
      </c>
      <c r="Q275" s="0">
        <f>IF(P275="","",IF(ROUND(P275,2)=5,"win","loss"))</f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>
        <f>IF(C276="","",IFERROR(LOOKUP(2,1/(($C$2:$C$1001=C276)*($Q$2:$Q$1001="win")),$O$2:$O$1001),""))</f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>
        <f>IF(N276="","",IF(OR(ISNUMBER(SEARCH("狼",N276)),ISNUMBER(SEARCH("石像鬼",N276)),ISNUMBER(SEARCH("恶灵骑士",N276)),ISNUMBER(SEARCH("黑蝙蝠",N276)),ISNUMBER(SEARCH("血月使徒",N276))),"werewolves","villagers"))</f>
      </c>
      <c r="P276" s="0" t="inlineStr">
        <is>
          <t xml:space="preserve"/>
        </is>
      </c>
      <c r="Q276" s="0">
        <f>IF(P276="","",IF(ROUND(P276,2)=5,"win","loss"))</f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>
        <f>IF(C277="","",IFERROR(LOOKUP(2,1/(($C$2:$C$1001=C277)*($Q$2:$Q$1001="win")),$O$2:$O$1001),""))</f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>
        <f>IF(N277="","",IF(OR(ISNUMBER(SEARCH("狼",N277)),ISNUMBER(SEARCH("石像鬼",N277)),ISNUMBER(SEARCH("恶灵骑士",N277)),ISNUMBER(SEARCH("黑蝙蝠",N277)),ISNUMBER(SEARCH("血月使徒",N277))),"werewolves","villagers"))</f>
      </c>
      <c r="P277" s="0" t="inlineStr">
        <is>
          <t xml:space="preserve"/>
        </is>
      </c>
      <c r="Q277" s="0">
        <f>IF(P277="","",IF(ROUND(P277,2)=5,"win","loss"))</f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>
        <f>IF(C278="","",IFERROR(LOOKUP(2,1/(($C$2:$C$1001=C278)*($Q$2:$Q$1001="win")),$O$2:$O$1001),""))</f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>
        <f>IF(N278="","",IF(OR(ISNUMBER(SEARCH("狼",N278)),ISNUMBER(SEARCH("石像鬼",N278)),ISNUMBER(SEARCH("恶灵骑士",N278)),ISNUMBER(SEARCH("黑蝙蝠",N278)),ISNUMBER(SEARCH("血月使徒",N278))),"werewolves","villagers"))</f>
      </c>
      <c r="P278" s="0" t="inlineStr">
        <is>
          <t xml:space="preserve"/>
        </is>
      </c>
      <c r="Q278" s="0">
        <f>IF(P278="","",IF(ROUND(P278,2)=5,"win","loss"))</f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>
        <f>IF(C279="","",IFERROR(LOOKUP(2,1/(($C$2:$C$1001=C279)*($Q$2:$Q$1001="win")),$O$2:$O$1001),""))</f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>
        <f>IF(N279="","",IF(OR(ISNUMBER(SEARCH("狼",N279)),ISNUMBER(SEARCH("石像鬼",N279)),ISNUMBER(SEARCH("恶灵骑士",N279)),ISNUMBER(SEARCH("黑蝙蝠",N279)),ISNUMBER(SEARCH("血月使徒",N279))),"werewolves","villagers"))</f>
      </c>
      <c r="P279" s="0" t="inlineStr">
        <is>
          <t xml:space="preserve"/>
        </is>
      </c>
      <c r="Q279" s="0">
        <f>IF(P279="","",IF(ROUND(P279,2)=5,"win","loss"))</f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>
        <f>IF(C280="","",IFERROR(LOOKUP(2,1/(($C$2:$C$1001=C280)*($Q$2:$Q$1001="win")),$O$2:$O$1001),""))</f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>
        <f>IF(N280="","",IF(OR(ISNUMBER(SEARCH("狼",N280)),ISNUMBER(SEARCH("石像鬼",N280)),ISNUMBER(SEARCH("恶灵骑士",N280)),ISNUMBER(SEARCH("黑蝙蝠",N280)),ISNUMBER(SEARCH("血月使徒",N280))),"werewolves","villagers"))</f>
      </c>
      <c r="P280" s="0" t="inlineStr">
        <is>
          <t xml:space="preserve"/>
        </is>
      </c>
      <c r="Q280" s="0">
        <f>IF(P280="","",IF(ROUND(P280,2)=5,"win","loss"))</f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>
        <f>IF(C281="","",IFERROR(LOOKUP(2,1/(($C$2:$C$1001=C281)*($Q$2:$Q$1001="win")),$O$2:$O$1001),""))</f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>
        <f>IF(N281="","",IF(OR(ISNUMBER(SEARCH("狼",N281)),ISNUMBER(SEARCH("石像鬼",N281)),ISNUMBER(SEARCH("恶灵骑士",N281)),ISNUMBER(SEARCH("黑蝙蝠",N281)),ISNUMBER(SEARCH("血月使徒",N281))),"werewolves","villagers"))</f>
      </c>
      <c r="P281" s="0" t="inlineStr">
        <is>
          <t xml:space="preserve"/>
        </is>
      </c>
      <c r="Q281" s="0">
        <f>IF(P281="","",IF(ROUND(P281,2)=5,"win","loss"))</f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>
        <f>IF(C282="","",IFERROR(LOOKUP(2,1/(($C$2:$C$1001=C282)*($Q$2:$Q$1001="win")),$O$2:$O$1001),""))</f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>
        <f>IF(N282="","",IF(OR(ISNUMBER(SEARCH("狼",N282)),ISNUMBER(SEARCH("石像鬼",N282)),ISNUMBER(SEARCH("恶灵骑士",N282)),ISNUMBER(SEARCH("黑蝙蝠",N282)),ISNUMBER(SEARCH("血月使徒",N282))),"werewolves","villagers"))</f>
      </c>
      <c r="P282" s="0" t="inlineStr">
        <is>
          <t xml:space="preserve"/>
        </is>
      </c>
      <c r="Q282" s="0">
        <f>IF(P282="","",IF(ROUND(P282,2)=5,"win","loss"))</f>
      </c>
      <c r="R282" s="0" t="inlineStr">
        <is>
          <t xml:space="preserve"/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>
        <f>IF(C283="","",IFERROR(LOOKUP(2,1/(($C$2:$C$1001=C283)*($Q$2:$Q$1001="win")),$O$2:$O$1001),""))</f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>
        <f>IF(N283="","",IF(OR(ISNUMBER(SEARCH("狼",N283)),ISNUMBER(SEARCH("石像鬼",N283)),ISNUMBER(SEARCH("恶灵骑士",N283)),ISNUMBER(SEARCH("黑蝙蝠",N283)),ISNUMBER(SEARCH("血月使徒",N283))),"werewolves","villagers"))</f>
      </c>
      <c r="P283" s="0" t="inlineStr">
        <is>
          <t xml:space="preserve"/>
        </is>
      </c>
      <c r="Q283" s="0">
        <f>IF(P283="","",IF(ROUND(P283,2)=5,"win","loss"))</f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>
        <f>IF(C284="","",IFERROR(LOOKUP(2,1/(($C$2:$C$1001=C284)*($Q$2:$Q$1001="win")),$O$2:$O$1001),""))</f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>
        <f>IF(N284="","",IF(OR(ISNUMBER(SEARCH("狼",N284)),ISNUMBER(SEARCH("石像鬼",N284)),ISNUMBER(SEARCH("恶灵骑士",N284)),ISNUMBER(SEARCH("黑蝙蝠",N284)),ISNUMBER(SEARCH("血月使徒",N284))),"werewolves","villagers"))</f>
      </c>
      <c r="P284" s="0" t="inlineStr">
        <is>
          <t xml:space="preserve"/>
        </is>
      </c>
      <c r="Q284" s="0">
        <f>IF(P284="","",IF(ROUND(P284,2)=5,"win","loss"))</f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>
        <f>IF(C285="","",IFERROR(LOOKUP(2,1/(($C$2:$C$1001=C285)*($Q$2:$Q$1001="win")),$O$2:$O$1001),""))</f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>
        <f>IF(N285="","",IF(OR(ISNUMBER(SEARCH("狼",N285)),ISNUMBER(SEARCH("石像鬼",N285)),ISNUMBER(SEARCH("恶灵骑士",N285)),ISNUMBER(SEARCH("黑蝙蝠",N285)),ISNUMBER(SEARCH("血月使徒",N285))),"werewolves","villagers"))</f>
      </c>
      <c r="P285" s="0" t="inlineStr">
        <is>
          <t xml:space="preserve"/>
        </is>
      </c>
      <c r="Q285" s="0">
        <f>IF(P285="","",IF(ROUND(P285,2)=5,"win","loss"))</f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>
        <f>IF(C286="","",IFERROR(LOOKUP(2,1/(($C$2:$C$1001=C286)*($Q$2:$Q$1001="win")),$O$2:$O$1001),""))</f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>
        <f>IF(N286="","",IF(OR(ISNUMBER(SEARCH("狼",N286)),ISNUMBER(SEARCH("石像鬼",N286)),ISNUMBER(SEARCH("恶灵骑士",N286)),ISNUMBER(SEARCH("黑蝙蝠",N286)),ISNUMBER(SEARCH("血月使徒",N286))),"werewolves","villagers"))</f>
      </c>
      <c r="P286" s="0" t="inlineStr">
        <is>
          <t xml:space="preserve"/>
        </is>
      </c>
      <c r="Q286" s="0">
        <f>IF(P286="","",IF(ROUND(P286,2)=5,"win","loss"))</f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>
        <f>IF(C287="","",IFERROR(LOOKUP(2,1/(($C$2:$C$1001=C287)*($Q$2:$Q$1001="win")),$O$2:$O$1001),""))</f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>
        <f>IF(N287="","",IF(OR(ISNUMBER(SEARCH("狼",N287)),ISNUMBER(SEARCH("石像鬼",N287)),ISNUMBER(SEARCH("恶灵骑士",N287)),ISNUMBER(SEARCH("黑蝙蝠",N287)),ISNUMBER(SEARCH("血月使徒",N287))),"werewolves","villagers"))</f>
      </c>
      <c r="P287" s="0" t="inlineStr">
        <is>
          <t xml:space="preserve"/>
        </is>
      </c>
      <c r="Q287" s="0">
        <f>IF(P287="","",IF(ROUND(P287,2)=5,"win","loss"))</f>
      </c>
      <c r="R287" s="0" t="inlineStr">
        <is>
          <t xml:space="preserve"/>
        </is>
      </c>
      <c r="S287" s="0" t="inlineStr">
        <is>
          <t xml:space="preserve"/>
        </is>
      </c>
      <c r="T287" s="0" t="inlineStr">
        <is>
          <t xml:space="preserve"/>
        </is>
      </c>
      <c r="U287" s="0" t="inlineStr">
        <is>
          <t xml:space="preserve"/>
        </is>
      </c>
      <c r="V287" s="0" t="inlineStr">
        <is>
          <t xml:space="preserve"/>
        </is>
      </c>
      <c r="W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>
        <f>IF(C288="","",IFERROR(LOOKUP(2,1/(($C$2:$C$1001=C288)*($Q$2:$Q$1001="win")),$O$2:$O$1001),""))</f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>
        <f>IF(N288="","",IF(OR(ISNUMBER(SEARCH("狼",N288)),ISNUMBER(SEARCH("石像鬼",N288)),ISNUMBER(SEARCH("恶灵骑士",N288)),ISNUMBER(SEARCH("黑蝙蝠",N288)),ISNUMBER(SEARCH("血月使徒",N288))),"werewolves","villagers"))</f>
      </c>
      <c r="P288" s="0" t="inlineStr">
        <is>
          <t xml:space="preserve"/>
        </is>
      </c>
      <c r="Q288" s="0">
        <f>IF(P288="","",IF(ROUND(P288,2)=5,"win","loss"))</f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>
        <f>IF(C289="","",IFERROR(LOOKUP(2,1/(($C$2:$C$1001=C289)*($Q$2:$Q$1001="win")),$O$2:$O$1001),""))</f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>
        <f>IF(N289="","",IF(OR(ISNUMBER(SEARCH("狼",N289)),ISNUMBER(SEARCH("石像鬼",N289)),ISNUMBER(SEARCH("恶灵骑士",N289)),ISNUMBER(SEARCH("黑蝙蝠",N289)),ISNUMBER(SEARCH("血月使徒",N289))),"werewolves","villagers"))</f>
      </c>
      <c r="P289" s="0" t="inlineStr">
        <is>
          <t xml:space="preserve"/>
        </is>
      </c>
      <c r="Q289" s="0">
        <f>IF(P289="","",IF(ROUND(P289,2)=5,"win","loss"))</f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>
        <f>IF(C290="","",IFERROR(LOOKUP(2,1/(($C$2:$C$1001=C290)*($Q$2:$Q$1001="win")),$O$2:$O$1001),""))</f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>
        <f>IF(N290="","",IF(OR(ISNUMBER(SEARCH("狼",N290)),ISNUMBER(SEARCH("石像鬼",N290)),ISNUMBER(SEARCH("恶灵骑士",N290)),ISNUMBER(SEARCH("黑蝙蝠",N290)),ISNUMBER(SEARCH("血月使徒",N290))),"werewolves","villagers"))</f>
      </c>
      <c r="P290" s="0" t="inlineStr">
        <is>
          <t xml:space="preserve"/>
        </is>
      </c>
      <c r="Q290" s="0">
        <f>IF(P290="","",IF(ROUND(P290,2)=5,"win","loss"))</f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>
        <f>IF(C291="","",IFERROR(LOOKUP(2,1/(($C$2:$C$1001=C291)*($Q$2:$Q$1001="win")),$O$2:$O$1001),""))</f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>
        <f>IF(N291="","",IF(OR(ISNUMBER(SEARCH("狼",N291)),ISNUMBER(SEARCH("石像鬼",N291)),ISNUMBER(SEARCH("恶灵骑士",N291)),ISNUMBER(SEARCH("黑蝙蝠",N291)),ISNUMBER(SEARCH("血月使徒",N291))),"werewolves","villagers"))</f>
      </c>
      <c r="P291" s="0" t="inlineStr">
        <is>
          <t xml:space="preserve"/>
        </is>
      </c>
      <c r="Q291" s="0">
        <f>IF(P291="","",IF(ROUND(P291,2)=5,"win","loss"))</f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>
        <f>IF(C292="","",IFERROR(LOOKUP(2,1/(($C$2:$C$1001=C292)*($Q$2:$Q$1001="win")),$O$2:$O$1001),""))</f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>
        <f>IF(N292="","",IF(OR(ISNUMBER(SEARCH("狼",N292)),ISNUMBER(SEARCH("石像鬼",N292)),ISNUMBER(SEARCH("恶灵骑士",N292)),ISNUMBER(SEARCH("黑蝙蝠",N292)),ISNUMBER(SEARCH("血月使徒",N292))),"werewolves","villagers"))</f>
      </c>
      <c r="P292" s="0" t="inlineStr">
        <is>
          <t xml:space="preserve"/>
        </is>
      </c>
      <c r="Q292" s="0">
        <f>IF(P292="","",IF(ROUND(P292,2)=5,"win","loss"))</f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>
        <f>IF(C293="","",IFERROR(LOOKUP(2,1/(($C$2:$C$1001=C293)*($Q$2:$Q$1001="win")),$O$2:$O$1001),""))</f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>
        <f>IF(N293="","",IF(OR(ISNUMBER(SEARCH("狼",N293)),ISNUMBER(SEARCH("石像鬼",N293)),ISNUMBER(SEARCH("恶灵骑士",N293)),ISNUMBER(SEARCH("黑蝙蝠",N293)),ISNUMBER(SEARCH("血月使徒",N293))),"werewolves","villagers"))</f>
      </c>
      <c r="P293" s="0" t="inlineStr">
        <is>
          <t xml:space="preserve"/>
        </is>
      </c>
      <c r="Q293" s="0">
        <f>IF(P293="","",IF(ROUND(P293,2)=5,"win","loss"))</f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>
        <f>IF(C294="","",IFERROR(LOOKUP(2,1/(($C$2:$C$1001=C294)*($Q$2:$Q$1001="win")),$O$2:$O$1001),""))</f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>
        <f>IF(N294="","",IF(OR(ISNUMBER(SEARCH("狼",N294)),ISNUMBER(SEARCH("石像鬼",N294)),ISNUMBER(SEARCH("恶灵骑士",N294)),ISNUMBER(SEARCH("黑蝙蝠",N294)),ISNUMBER(SEARCH("血月使徒",N294))),"werewolves","villagers"))</f>
      </c>
      <c r="P294" s="0" t="inlineStr">
        <is>
          <t xml:space="preserve"/>
        </is>
      </c>
      <c r="Q294" s="0">
        <f>IF(P294="","",IF(ROUND(P294,2)=5,"win","loss"))</f>
      </c>
      <c r="R294" s="0" t="inlineStr">
        <is>
          <t xml:space="preserve"/>
        </is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/>
        </is>
      </c>
      <c r="W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>
        <f>IF(C295="","",IFERROR(LOOKUP(2,1/(($C$2:$C$1001=C295)*($Q$2:$Q$1001="win")),$O$2:$O$1001),""))</f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>
        <f>IF(N295="","",IF(OR(ISNUMBER(SEARCH("狼",N295)),ISNUMBER(SEARCH("石像鬼",N295)),ISNUMBER(SEARCH("恶灵骑士",N295)),ISNUMBER(SEARCH("黑蝙蝠",N295)),ISNUMBER(SEARCH("血月使徒",N295))),"werewolves","villagers"))</f>
      </c>
      <c r="P295" s="0" t="inlineStr">
        <is>
          <t xml:space="preserve"/>
        </is>
      </c>
      <c r="Q295" s="0">
        <f>IF(P295="","",IF(ROUND(P295,2)=5,"win","loss"))</f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>
        <f>IF(C296="","",IFERROR(LOOKUP(2,1/(($C$2:$C$1001=C296)*($Q$2:$Q$1001="win")),$O$2:$O$1001),""))</f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>
        <f>IF(N296="","",IF(OR(ISNUMBER(SEARCH("狼",N296)),ISNUMBER(SEARCH("石像鬼",N296)),ISNUMBER(SEARCH("恶灵骑士",N296)),ISNUMBER(SEARCH("黑蝙蝠",N296)),ISNUMBER(SEARCH("血月使徒",N296))),"werewolves","villagers"))</f>
      </c>
      <c r="P296" s="0" t="inlineStr">
        <is>
          <t xml:space="preserve"/>
        </is>
      </c>
      <c r="Q296" s="0">
        <f>IF(P296="","",IF(ROUND(P296,2)=5,"win","loss"))</f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>
        <f>IF(C297="","",IFERROR(LOOKUP(2,1/(($C$2:$C$1001=C297)*($Q$2:$Q$1001="win")),$O$2:$O$1001),""))</f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>
        <f>IF(N297="","",IF(OR(ISNUMBER(SEARCH("狼",N297)),ISNUMBER(SEARCH("石像鬼",N297)),ISNUMBER(SEARCH("恶灵骑士",N297)),ISNUMBER(SEARCH("黑蝙蝠",N297)),ISNUMBER(SEARCH("血月使徒",N297))),"werewolves","villagers"))</f>
      </c>
      <c r="P297" s="0" t="inlineStr">
        <is>
          <t xml:space="preserve"/>
        </is>
      </c>
      <c r="Q297" s="0">
        <f>IF(P297="","",IF(ROUND(P297,2)=5,"win","loss"))</f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>
        <f>IF(C298="","",IFERROR(LOOKUP(2,1/(($C$2:$C$1001=C298)*($Q$2:$Q$1001="win")),$O$2:$O$1001),""))</f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>
        <f>IF(N298="","",IF(OR(ISNUMBER(SEARCH("狼",N298)),ISNUMBER(SEARCH("石像鬼",N298)),ISNUMBER(SEARCH("恶灵骑士",N298)),ISNUMBER(SEARCH("黑蝙蝠",N298)),ISNUMBER(SEARCH("血月使徒",N298))),"werewolves","villagers"))</f>
      </c>
      <c r="P298" s="0" t="inlineStr">
        <is>
          <t xml:space="preserve"/>
        </is>
      </c>
      <c r="Q298" s="0">
        <f>IF(P298="","",IF(ROUND(P298,2)=5,"win","loss"))</f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>
        <f>IF(C299="","",IFERROR(LOOKUP(2,1/(($C$2:$C$1001=C299)*($Q$2:$Q$1001="win")),$O$2:$O$1001),""))</f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>
        <f>IF(N299="","",IF(OR(ISNUMBER(SEARCH("狼",N299)),ISNUMBER(SEARCH("石像鬼",N299)),ISNUMBER(SEARCH("恶灵骑士",N299)),ISNUMBER(SEARCH("黑蝙蝠",N299)),ISNUMBER(SEARCH("血月使徒",N299))),"werewolves","villagers"))</f>
      </c>
      <c r="P299" s="0" t="inlineStr">
        <is>
          <t xml:space="preserve"/>
        </is>
      </c>
      <c r="Q299" s="0">
        <f>IF(P299="","",IF(ROUND(P299,2)=5,"win","loss"))</f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>
        <f>IF(C300="","",IFERROR(LOOKUP(2,1/(($C$2:$C$1001=C300)*($Q$2:$Q$1001="win")),$O$2:$O$1001),""))</f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>
        <f>IF(N300="","",IF(OR(ISNUMBER(SEARCH("狼",N300)),ISNUMBER(SEARCH("石像鬼",N300)),ISNUMBER(SEARCH("恶灵骑士",N300)),ISNUMBER(SEARCH("黑蝙蝠",N300)),ISNUMBER(SEARCH("血月使徒",N300))),"werewolves","villagers"))</f>
      </c>
      <c r="P300" s="0" t="inlineStr">
        <is>
          <t xml:space="preserve"/>
        </is>
      </c>
      <c r="Q300" s="0">
        <f>IF(P300="","",IF(ROUND(P300,2)=5,"win","loss"))</f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>
        <f>IF(C301="","",IFERROR(LOOKUP(2,1/(($C$2:$C$1001=C301)*($Q$2:$Q$1001="win")),$O$2:$O$1001),""))</f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>
        <f>IF(N301="","",IF(OR(ISNUMBER(SEARCH("狼",N301)),ISNUMBER(SEARCH("石像鬼",N301)),ISNUMBER(SEARCH("恶灵骑士",N301)),ISNUMBER(SEARCH("黑蝙蝠",N301)),ISNUMBER(SEARCH("血月使徒",N301))),"werewolves","villagers"))</f>
      </c>
      <c r="P301" s="0" t="inlineStr">
        <is>
          <t xml:space="preserve"/>
        </is>
      </c>
      <c r="Q301" s="0">
        <f>IF(P301="","",IF(ROUND(P301,2)=5,"win","loss"))</f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>
        <f>IF(C302="","",IFERROR(LOOKUP(2,1/(($C$2:$C$1001=C302)*($Q$2:$Q$1001="win")),$O$2:$O$1001),""))</f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>
        <f>IF(N302="","",IF(OR(ISNUMBER(SEARCH("狼",N302)),ISNUMBER(SEARCH("石像鬼",N302)),ISNUMBER(SEARCH("恶灵骑士",N302)),ISNUMBER(SEARCH("黑蝙蝠",N302)),ISNUMBER(SEARCH("血月使徒",N302))),"werewolves","villagers"))</f>
      </c>
      <c r="P302" s="0" t="inlineStr">
        <is>
          <t xml:space="preserve"/>
        </is>
      </c>
      <c r="Q302" s="0">
        <f>IF(P302="","",IF(ROUND(P302,2)=5,"win","loss"))</f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>
        <f>IF(C303="","",IFERROR(LOOKUP(2,1/(($C$2:$C$1001=C303)*($Q$2:$Q$1001="win")),$O$2:$O$1001),""))</f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>
        <f>IF(N303="","",IF(OR(ISNUMBER(SEARCH("狼",N303)),ISNUMBER(SEARCH("石像鬼",N303)),ISNUMBER(SEARCH("恶灵骑士",N303)),ISNUMBER(SEARCH("黑蝙蝠",N303)),ISNUMBER(SEARCH("血月使徒",N303))),"werewolves","villagers"))</f>
      </c>
      <c r="P303" s="0" t="inlineStr">
        <is>
          <t xml:space="preserve"/>
        </is>
      </c>
      <c r="Q303" s="0">
        <f>IF(P303="","",IF(ROUND(P303,2)=5,"win","loss"))</f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>
        <f>IF(C304="","",IFERROR(LOOKUP(2,1/(($C$2:$C$1001=C304)*($Q$2:$Q$1001="win")),$O$2:$O$1001),""))</f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>
        <f>IF(N304="","",IF(OR(ISNUMBER(SEARCH("狼",N304)),ISNUMBER(SEARCH("石像鬼",N304)),ISNUMBER(SEARCH("恶灵骑士",N304)),ISNUMBER(SEARCH("黑蝙蝠",N304)),ISNUMBER(SEARCH("血月使徒",N304))),"werewolves","villagers"))</f>
      </c>
      <c r="P304" s="0" t="inlineStr">
        <is>
          <t xml:space="preserve"/>
        </is>
      </c>
      <c r="Q304" s="0">
        <f>IF(P304="","",IF(ROUND(P304,2)=5,"win","loss"))</f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>
        <f>IF(C305="","",IFERROR(LOOKUP(2,1/(($C$2:$C$1001=C305)*($Q$2:$Q$1001="win")),$O$2:$O$1001),""))</f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>
        <f>IF(N305="","",IF(OR(ISNUMBER(SEARCH("狼",N305)),ISNUMBER(SEARCH("石像鬼",N305)),ISNUMBER(SEARCH("恶灵骑士",N305)),ISNUMBER(SEARCH("黑蝙蝠",N305)),ISNUMBER(SEARCH("血月使徒",N305))),"werewolves","villagers"))</f>
      </c>
      <c r="P305" s="0" t="inlineStr">
        <is>
          <t xml:space="preserve"/>
        </is>
      </c>
      <c r="Q305" s="0">
        <f>IF(P305="","",IF(ROUND(P305,2)=5,"win","loss"))</f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>
        <f>IF(C306="","",IFERROR(LOOKUP(2,1/(($C$2:$C$1001=C306)*($Q$2:$Q$1001="win")),$O$2:$O$1001),""))</f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>
        <f>IF(N306="","",IF(OR(ISNUMBER(SEARCH("狼",N306)),ISNUMBER(SEARCH("石像鬼",N306)),ISNUMBER(SEARCH("恶灵骑士",N306)),ISNUMBER(SEARCH("黑蝙蝠",N306)),ISNUMBER(SEARCH("血月使徒",N306))),"werewolves","villagers"))</f>
      </c>
      <c r="P306" s="0" t="inlineStr">
        <is>
          <t xml:space="preserve"/>
        </is>
      </c>
      <c r="Q306" s="0">
        <f>IF(P306="","",IF(ROUND(P306,2)=5,"win","loss"))</f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>
        <f>IF(C307="","",IFERROR(LOOKUP(2,1/(($C$2:$C$1001=C307)*($Q$2:$Q$1001="win")),$O$2:$O$1001),""))</f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>
        <f>IF(N307="","",IF(OR(ISNUMBER(SEARCH("狼",N307)),ISNUMBER(SEARCH("石像鬼",N307)),ISNUMBER(SEARCH("恶灵骑士",N307)),ISNUMBER(SEARCH("黑蝙蝠",N307)),ISNUMBER(SEARCH("血月使徒",N307))),"werewolves","villagers"))</f>
      </c>
      <c r="P307" s="0" t="inlineStr">
        <is>
          <t xml:space="preserve"/>
        </is>
      </c>
      <c r="Q307" s="0">
        <f>IF(P307="","",IF(ROUND(P307,2)=5,"win","loss"))</f>
      </c>
      <c r="R307" s="0" t="inlineStr">
        <is>
          <t xml:space="preserve"/>
        </is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>
        <f>IF(C308="","",IFERROR(LOOKUP(2,1/(($C$2:$C$1001=C308)*($Q$2:$Q$1001="win")),$O$2:$O$1001),""))</f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>
        <f>IF(N308="","",IF(OR(ISNUMBER(SEARCH("狼",N308)),ISNUMBER(SEARCH("石像鬼",N308)),ISNUMBER(SEARCH("恶灵骑士",N308)),ISNUMBER(SEARCH("黑蝙蝠",N308)),ISNUMBER(SEARCH("血月使徒",N308))),"werewolves","villagers"))</f>
      </c>
      <c r="P308" s="0" t="inlineStr">
        <is>
          <t xml:space="preserve"/>
        </is>
      </c>
      <c r="Q308" s="0">
        <f>IF(P308="","",IF(ROUND(P308,2)=5,"win","loss"))</f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>
        <f>IF(C309="","",IFERROR(LOOKUP(2,1/(($C$2:$C$1001=C309)*($Q$2:$Q$1001="win")),$O$2:$O$1001),""))</f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>
        <f>IF(N309="","",IF(OR(ISNUMBER(SEARCH("狼",N309)),ISNUMBER(SEARCH("石像鬼",N309)),ISNUMBER(SEARCH("恶灵骑士",N309)),ISNUMBER(SEARCH("黑蝙蝠",N309)),ISNUMBER(SEARCH("血月使徒",N309))),"werewolves","villagers"))</f>
      </c>
      <c r="P309" s="0" t="inlineStr">
        <is>
          <t xml:space="preserve"/>
        </is>
      </c>
      <c r="Q309" s="0">
        <f>IF(P309="","",IF(ROUND(P309,2)=5,"win","loss"))</f>
      </c>
      <c r="R309" s="0" t="inlineStr">
        <is>
          <t xml:space="preserve"/>
        </is>
      </c>
      <c r="S309" s="0" t="inlineStr">
        <is>
          <t xml:space="preserve"/>
        </is>
      </c>
      <c r="T309" s="0" t="inlineStr">
        <is>
          <t xml:space="preserve"/>
        </is>
      </c>
      <c r="U309" s="0" t="inlineStr">
        <is>
          <t xml:space="preserve"/>
        </is>
      </c>
      <c r="V309" s="0" t="inlineStr">
        <is>
          <t xml:space="preserve"/>
        </is>
      </c>
      <c r="W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>
        <f>IF(C310="","",IFERROR(LOOKUP(2,1/(($C$2:$C$1001=C310)*($Q$2:$Q$1001="win")),$O$2:$O$1001),""))</f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>
        <f>IF(N310="","",IF(OR(ISNUMBER(SEARCH("狼",N310)),ISNUMBER(SEARCH("石像鬼",N310)),ISNUMBER(SEARCH("恶灵骑士",N310)),ISNUMBER(SEARCH("黑蝙蝠",N310)),ISNUMBER(SEARCH("血月使徒",N310))),"werewolves","villagers"))</f>
      </c>
      <c r="P310" s="0" t="inlineStr">
        <is>
          <t xml:space="preserve"/>
        </is>
      </c>
      <c r="Q310" s="0">
        <f>IF(P310="","",IF(ROUND(P310,2)=5,"win","loss"))</f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>
        <f>IF(C311="","",IFERROR(LOOKUP(2,1/(($C$2:$C$1001=C311)*($Q$2:$Q$1001="win")),$O$2:$O$1001),""))</f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>
        <f>IF(N311="","",IF(OR(ISNUMBER(SEARCH("狼",N311)),ISNUMBER(SEARCH("石像鬼",N311)),ISNUMBER(SEARCH("恶灵骑士",N311)),ISNUMBER(SEARCH("黑蝙蝠",N311)),ISNUMBER(SEARCH("血月使徒",N311))),"werewolves","villagers"))</f>
      </c>
      <c r="P311" s="0" t="inlineStr">
        <is>
          <t xml:space="preserve"/>
        </is>
      </c>
      <c r="Q311" s="0">
        <f>IF(P311="","",IF(ROUND(P311,2)=5,"win","loss"))</f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>
        <f>IF(C312="","",IFERROR(LOOKUP(2,1/(($C$2:$C$1001=C312)*($Q$2:$Q$1001="win")),$O$2:$O$1001),""))</f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>
        <f>IF(N312="","",IF(OR(ISNUMBER(SEARCH("狼",N312)),ISNUMBER(SEARCH("石像鬼",N312)),ISNUMBER(SEARCH("恶灵骑士",N312)),ISNUMBER(SEARCH("黑蝙蝠",N312)),ISNUMBER(SEARCH("血月使徒",N312))),"werewolves","villagers"))</f>
      </c>
      <c r="P312" s="0" t="inlineStr">
        <is>
          <t xml:space="preserve"/>
        </is>
      </c>
      <c r="Q312" s="0">
        <f>IF(P312="","",IF(ROUND(P312,2)=5,"win","loss"))</f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>
        <f>IF(C313="","",IFERROR(LOOKUP(2,1/(($C$2:$C$1001=C313)*($Q$2:$Q$1001="win")),$O$2:$O$1001),""))</f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>
        <f>IF(N313="","",IF(OR(ISNUMBER(SEARCH("狼",N313)),ISNUMBER(SEARCH("石像鬼",N313)),ISNUMBER(SEARCH("恶灵骑士",N313)),ISNUMBER(SEARCH("黑蝙蝠",N313)),ISNUMBER(SEARCH("血月使徒",N313))),"werewolves","villagers"))</f>
      </c>
      <c r="P313" s="0" t="inlineStr">
        <is>
          <t xml:space="preserve"/>
        </is>
      </c>
      <c r="Q313" s="0">
        <f>IF(P313="","",IF(ROUND(P313,2)=5,"win","loss"))</f>
      </c>
      <c r="R313" s="0" t="inlineStr">
        <is>
          <t xml:space="preserve"/>
        </is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>
        <f>IF(C314="","",IFERROR(LOOKUP(2,1/(($C$2:$C$1001=C314)*($Q$2:$Q$1001="win")),$O$2:$O$1001),""))</f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>
        <f>IF(N314="","",IF(OR(ISNUMBER(SEARCH("狼",N314)),ISNUMBER(SEARCH("石像鬼",N314)),ISNUMBER(SEARCH("恶灵骑士",N314)),ISNUMBER(SEARCH("黑蝙蝠",N314)),ISNUMBER(SEARCH("血月使徒",N314))),"werewolves","villagers"))</f>
      </c>
      <c r="P314" s="0" t="inlineStr">
        <is>
          <t xml:space="preserve"/>
        </is>
      </c>
      <c r="Q314" s="0">
        <f>IF(P314="","",IF(ROUND(P314,2)=5,"win","loss"))</f>
      </c>
      <c r="R314" s="0" t="inlineStr">
        <is>
          <t xml:space="preserve"/>
        </is>
      </c>
      <c r="S314" s="0" t="inlineStr">
        <is>
          <t xml:space="preserve"/>
        </is>
      </c>
      <c r="T314" s="0" t="inlineStr">
        <is>
          <t xml:space="preserve"/>
        </is>
      </c>
      <c r="U314" s="0" t="inlineStr">
        <is>
          <t xml:space="preserve"/>
        </is>
      </c>
      <c r="V314" s="0" t="inlineStr">
        <is>
          <t xml:space="preserve"/>
        </is>
      </c>
      <c r="W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>
        <f>IF(C315="","",IFERROR(LOOKUP(2,1/(($C$2:$C$1001=C315)*($Q$2:$Q$1001="win")),$O$2:$O$1001),""))</f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>
        <f>IF(N315="","",IF(OR(ISNUMBER(SEARCH("狼",N315)),ISNUMBER(SEARCH("石像鬼",N315)),ISNUMBER(SEARCH("恶灵骑士",N315)),ISNUMBER(SEARCH("黑蝙蝠",N315)),ISNUMBER(SEARCH("血月使徒",N315))),"werewolves","villagers"))</f>
      </c>
      <c r="P315" s="0" t="inlineStr">
        <is>
          <t xml:space="preserve"/>
        </is>
      </c>
      <c r="Q315" s="0">
        <f>IF(P315="","",IF(ROUND(P315,2)=5,"win","loss"))</f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>
        <f>IF(C316="","",IFERROR(LOOKUP(2,1/(($C$2:$C$1001=C316)*($Q$2:$Q$1001="win")),$O$2:$O$1001),""))</f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>
        <f>IF(N316="","",IF(OR(ISNUMBER(SEARCH("狼",N316)),ISNUMBER(SEARCH("石像鬼",N316)),ISNUMBER(SEARCH("恶灵骑士",N316)),ISNUMBER(SEARCH("黑蝙蝠",N316)),ISNUMBER(SEARCH("血月使徒",N316))),"werewolves","villagers"))</f>
      </c>
      <c r="P316" s="0" t="inlineStr">
        <is>
          <t xml:space="preserve"/>
        </is>
      </c>
      <c r="Q316" s="0">
        <f>IF(P316="","",IF(ROUND(P316,2)=5,"win","loss"))</f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>
        <f>IF(C317="","",IFERROR(LOOKUP(2,1/(($C$2:$C$1001=C317)*($Q$2:$Q$1001="win")),$O$2:$O$1001),""))</f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>
        <f>IF(N317="","",IF(OR(ISNUMBER(SEARCH("狼",N317)),ISNUMBER(SEARCH("石像鬼",N317)),ISNUMBER(SEARCH("恶灵骑士",N317)),ISNUMBER(SEARCH("黑蝙蝠",N317)),ISNUMBER(SEARCH("血月使徒",N317))),"werewolves","villagers"))</f>
      </c>
      <c r="P317" s="0" t="inlineStr">
        <is>
          <t xml:space="preserve"/>
        </is>
      </c>
      <c r="Q317" s="0">
        <f>IF(P317="","",IF(ROUND(P317,2)=5,"win","loss"))</f>
      </c>
      <c r="R317" s="0" t="inlineStr">
        <is>
          <t xml:space="preserve"/>
        </is>
      </c>
      <c r="S317" s="0" t="inlineStr">
        <is>
          <t xml:space="preserve"/>
        </is>
      </c>
      <c r="T317" s="0" t="inlineStr">
        <is>
          <t xml:space="preserve"/>
        </is>
      </c>
      <c r="U317" s="0" t="inlineStr">
        <is>
          <t xml:space="preserve"/>
        </is>
      </c>
      <c r="V317" s="0" t="inlineStr">
        <is>
          <t xml:space="preserve"/>
        </is>
      </c>
      <c r="W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>
        <f>IF(C318="","",IFERROR(LOOKUP(2,1/(($C$2:$C$1001=C318)*($Q$2:$Q$1001="win")),$O$2:$O$1001),""))</f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>
        <f>IF(N318="","",IF(OR(ISNUMBER(SEARCH("狼",N318)),ISNUMBER(SEARCH("石像鬼",N318)),ISNUMBER(SEARCH("恶灵骑士",N318)),ISNUMBER(SEARCH("黑蝙蝠",N318)),ISNUMBER(SEARCH("血月使徒",N318))),"werewolves","villagers"))</f>
      </c>
      <c r="P318" s="0" t="inlineStr">
        <is>
          <t xml:space="preserve"/>
        </is>
      </c>
      <c r="Q318" s="0">
        <f>IF(P318="","",IF(ROUND(P318,2)=5,"win","loss"))</f>
      </c>
      <c r="R318" s="0" t="inlineStr">
        <is>
          <t xml:space="preserve"/>
        </is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>
        <f>IF(C319="","",IFERROR(LOOKUP(2,1/(($C$2:$C$1001=C319)*($Q$2:$Q$1001="win")),$O$2:$O$1001),""))</f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>
        <f>IF(N319="","",IF(OR(ISNUMBER(SEARCH("狼",N319)),ISNUMBER(SEARCH("石像鬼",N319)),ISNUMBER(SEARCH("恶灵骑士",N319)),ISNUMBER(SEARCH("黑蝙蝠",N319)),ISNUMBER(SEARCH("血月使徒",N319))),"werewolves","villagers"))</f>
      </c>
      <c r="P319" s="0" t="inlineStr">
        <is>
          <t xml:space="preserve"/>
        </is>
      </c>
      <c r="Q319" s="0">
        <f>IF(P319="","",IF(ROUND(P319,2)=5,"win","loss"))</f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>
        <f>IF(C320="","",IFERROR(LOOKUP(2,1/(($C$2:$C$1001=C320)*($Q$2:$Q$1001="win")),$O$2:$O$1001),""))</f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>
        <f>IF(N320="","",IF(OR(ISNUMBER(SEARCH("狼",N320)),ISNUMBER(SEARCH("石像鬼",N320)),ISNUMBER(SEARCH("恶灵骑士",N320)),ISNUMBER(SEARCH("黑蝙蝠",N320)),ISNUMBER(SEARCH("血月使徒",N320))),"werewolves","villagers"))</f>
      </c>
      <c r="P320" s="0" t="inlineStr">
        <is>
          <t xml:space="preserve"/>
        </is>
      </c>
      <c r="Q320" s="0">
        <f>IF(P320="","",IF(ROUND(P320,2)=5,"win","loss"))</f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>
        <f>IF(C321="","",IFERROR(LOOKUP(2,1/(($C$2:$C$1001=C321)*($Q$2:$Q$1001="win")),$O$2:$O$1001),""))</f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>
        <f>IF(N321="","",IF(OR(ISNUMBER(SEARCH("狼",N321)),ISNUMBER(SEARCH("石像鬼",N321)),ISNUMBER(SEARCH("恶灵骑士",N321)),ISNUMBER(SEARCH("黑蝙蝠",N321)),ISNUMBER(SEARCH("血月使徒",N321))),"werewolves","villagers"))</f>
      </c>
      <c r="P321" s="0" t="inlineStr">
        <is>
          <t xml:space="preserve"/>
        </is>
      </c>
      <c r="Q321" s="0">
        <f>IF(P321="","",IF(ROUND(P321,2)=5,"win","loss"))</f>
      </c>
      <c r="R321" s="0" t="inlineStr">
        <is>
          <t xml:space="preserve"/>
        </is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>
        <f>IF(C322="","",IFERROR(LOOKUP(2,1/(($C$2:$C$1001=C322)*($Q$2:$Q$1001="win")),$O$2:$O$1001),""))</f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>
        <f>IF(N322="","",IF(OR(ISNUMBER(SEARCH("狼",N322)),ISNUMBER(SEARCH("石像鬼",N322)),ISNUMBER(SEARCH("恶灵骑士",N322)),ISNUMBER(SEARCH("黑蝙蝠",N322)),ISNUMBER(SEARCH("血月使徒",N322))),"werewolves","villagers"))</f>
      </c>
      <c r="P322" s="0" t="inlineStr">
        <is>
          <t xml:space="preserve"/>
        </is>
      </c>
      <c r="Q322" s="0">
        <f>IF(P322="","",IF(ROUND(P322,2)=5,"win","loss"))</f>
      </c>
      <c r="R322" s="0" t="inlineStr">
        <is>
          <t xml:space="preserve"/>
        </is>
      </c>
      <c r="S322" s="0" t="inlineStr">
        <is>
          <t xml:space="preserve"/>
        </is>
      </c>
      <c r="T322" s="0" t="inlineStr">
        <is>
          <t xml:space="preserve"/>
        </is>
      </c>
      <c r="U322" s="0" t="inlineStr">
        <is>
          <t xml:space="preserve"/>
        </is>
      </c>
      <c r="V322" s="0" t="inlineStr">
        <is>
          <t xml:space="preserve"/>
        </is>
      </c>
      <c r="W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>
        <f>IF(C323="","",IFERROR(LOOKUP(2,1/(($C$2:$C$1001=C323)*($Q$2:$Q$1001="win")),$O$2:$O$1001),""))</f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>
        <f>IF(N323="","",IF(OR(ISNUMBER(SEARCH("狼",N323)),ISNUMBER(SEARCH("石像鬼",N323)),ISNUMBER(SEARCH("恶灵骑士",N323)),ISNUMBER(SEARCH("黑蝙蝠",N323)),ISNUMBER(SEARCH("血月使徒",N323))),"werewolves","villagers"))</f>
      </c>
      <c r="P323" s="0" t="inlineStr">
        <is>
          <t xml:space="preserve"/>
        </is>
      </c>
      <c r="Q323" s="0">
        <f>IF(P323="","",IF(ROUND(P323,2)=5,"win","loss"))</f>
      </c>
      <c r="R323" s="0" t="inlineStr">
        <is>
          <t xml:space="preserve"/>
        </is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>
        <f>IF(C324="","",IFERROR(LOOKUP(2,1/(($C$2:$C$1001=C324)*($Q$2:$Q$1001="win")),$O$2:$O$1001),""))</f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>
        <f>IF(N324="","",IF(OR(ISNUMBER(SEARCH("狼",N324)),ISNUMBER(SEARCH("石像鬼",N324)),ISNUMBER(SEARCH("恶灵骑士",N324)),ISNUMBER(SEARCH("黑蝙蝠",N324)),ISNUMBER(SEARCH("血月使徒",N324))),"werewolves","villagers"))</f>
      </c>
      <c r="P324" s="0" t="inlineStr">
        <is>
          <t xml:space="preserve"/>
        </is>
      </c>
      <c r="Q324" s="0">
        <f>IF(P324="","",IF(ROUND(P324,2)=5,"win","loss"))</f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>
        <f>IF(C325="","",IFERROR(LOOKUP(2,1/(($C$2:$C$1001=C325)*($Q$2:$Q$1001="win")),$O$2:$O$1001),""))</f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>
        <f>IF(N325="","",IF(OR(ISNUMBER(SEARCH("狼",N325)),ISNUMBER(SEARCH("石像鬼",N325)),ISNUMBER(SEARCH("恶灵骑士",N325)),ISNUMBER(SEARCH("黑蝙蝠",N325)),ISNUMBER(SEARCH("血月使徒",N325))),"werewolves","villagers"))</f>
      </c>
      <c r="P325" s="0" t="inlineStr">
        <is>
          <t xml:space="preserve"/>
        </is>
      </c>
      <c r="Q325" s="0">
        <f>IF(P325="","",IF(ROUND(P325,2)=5,"win","loss"))</f>
      </c>
      <c r="R325" s="0" t="inlineStr">
        <is>
          <t xml:space="preserve"/>
        </is>
      </c>
      <c r="S325" s="0" t="inlineStr">
        <is>
          <t xml:space="preserve"/>
        </is>
      </c>
      <c r="T325" s="0" t="inlineStr">
        <is>
          <t xml:space="preserve"/>
        </is>
      </c>
      <c r="U325" s="0" t="inlineStr">
        <is>
          <t xml:space="preserve"/>
        </is>
      </c>
      <c r="V325" s="0" t="inlineStr">
        <is>
          <t xml:space="preserve"/>
        </is>
      </c>
      <c r="W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>
        <f>IF(C326="","",IFERROR(LOOKUP(2,1/(($C$2:$C$1001=C326)*($Q$2:$Q$1001="win")),$O$2:$O$1001),""))</f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>
        <f>IF(N326="","",IF(OR(ISNUMBER(SEARCH("狼",N326)),ISNUMBER(SEARCH("石像鬼",N326)),ISNUMBER(SEARCH("恶灵骑士",N326)),ISNUMBER(SEARCH("黑蝙蝠",N326)),ISNUMBER(SEARCH("血月使徒",N326))),"werewolves","villagers"))</f>
      </c>
      <c r="P326" s="0" t="inlineStr">
        <is>
          <t xml:space="preserve"/>
        </is>
      </c>
      <c r="Q326" s="0">
        <f>IF(P326="","",IF(ROUND(P326,2)=5,"win","loss"))</f>
      </c>
      <c r="R326" s="0" t="inlineStr">
        <is>
          <t xml:space="preserve"/>
        </is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>
        <f>IF(C327="","",IFERROR(LOOKUP(2,1/(($C$2:$C$1001=C327)*($Q$2:$Q$1001="win")),$O$2:$O$1001),""))</f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>
        <f>IF(N327="","",IF(OR(ISNUMBER(SEARCH("狼",N327)),ISNUMBER(SEARCH("石像鬼",N327)),ISNUMBER(SEARCH("恶灵骑士",N327)),ISNUMBER(SEARCH("黑蝙蝠",N327)),ISNUMBER(SEARCH("血月使徒",N327))),"werewolves","villagers"))</f>
      </c>
      <c r="P327" s="0" t="inlineStr">
        <is>
          <t xml:space="preserve"/>
        </is>
      </c>
      <c r="Q327" s="0">
        <f>IF(P327="","",IF(ROUND(P327,2)=5,"win","loss"))</f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>
        <f>IF(C328="","",IFERROR(LOOKUP(2,1/(($C$2:$C$1001=C328)*($Q$2:$Q$1001="win")),$O$2:$O$1001),""))</f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>
        <f>IF(N328="","",IF(OR(ISNUMBER(SEARCH("狼",N328)),ISNUMBER(SEARCH("石像鬼",N328)),ISNUMBER(SEARCH("恶灵骑士",N328)),ISNUMBER(SEARCH("黑蝙蝠",N328)),ISNUMBER(SEARCH("血月使徒",N328))),"werewolves","villagers"))</f>
      </c>
      <c r="P328" s="0" t="inlineStr">
        <is>
          <t xml:space="preserve"/>
        </is>
      </c>
      <c r="Q328" s="0">
        <f>IF(P328="","",IF(ROUND(P328,2)=5,"win","loss"))</f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>
        <f>IF(C329="","",IFERROR(LOOKUP(2,1/(($C$2:$C$1001=C329)*($Q$2:$Q$1001="win")),$O$2:$O$1001),""))</f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>
        <f>IF(N329="","",IF(OR(ISNUMBER(SEARCH("狼",N329)),ISNUMBER(SEARCH("石像鬼",N329)),ISNUMBER(SEARCH("恶灵骑士",N329)),ISNUMBER(SEARCH("黑蝙蝠",N329)),ISNUMBER(SEARCH("血月使徒",N329))),"werewolves","villagers"))</f>
      </c>
      <c r="P329" s="0" t="inlineStr">
        <is>
          <t xml:space="preserve"/>
        </is>
      </c>
      <c r="Q329" s="0">
        <f>IF(P329="","",IF(ROUND(P329,2)=5,"win","loss"))</f>
      </c>
      <c r="R329" s="0" t="inlineStr">
        <is>
          <t xml:space="preserve"/>
        </is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>
        <f>IF(C330="","",IFERROR(LOOKUP(2,1/(($C$2:$C$1001=C330)*($Q$2:$Q$1001="win")),$O$2:$O$1001),""))</f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>
        <f>IF(N330="","",IF(OR(ISNUMBER(SEARCH("狼",N330)),ISNUMBER(SEARCH("石像鬼",N330)),ISNUMBER(SEARCH("恶灵骑士",N330)),ISNUMBER(SEARCH("黑蝙蝠",N330)),ISNUMBER(SEARCH("血月使徒",N330))),"werewolves","villagers"))</f>
      </c>
      <c r="P330" s="0" t="inlineStr">
        <is>
          <t xml:space="preserve"/>
        </is>
      </c>
      <c r="Q330" s="0">
        <f>IF(P330="","",IF(ROUND(P330,2)=5,"win","loss"))</f>
      </c>
      <c r="R330" s="0" t="inlineStr">
        <is>
          <t xml:space="preserve"/>
        </is>
      </c>
      <c r="S330" s="0" t="inlineStr">
        <is>
          <t xml:space="preserve"/>
        </is>
      </c>
      <c r="T330" s="0" t="inlineStr">
        <is>
          <t xml:space="preserve"/>
        </is>
      </c>
      <c r="U330" s="0" t="inlineStr">
        <is>
          <t xml:space="preserve"/>
        </is>
      </c>
      <c r="V330" s="0" t="inlineStr">
        <is>
          <t xml:space="preserve"/>
        </is>
      </c>
      <c r="W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>
        <f>IF(C331="","",IFERROR(LOOKUP(2,1/(($C$2:$C$1001=C331)*($Q$2:$Q$1001="win")),$O$2:$O$1001),""))</f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>
        <f>IF(N331="","",IF(OR(ISNUMBER(SEARCH("狼",N331)),ISNUMBER(SEARCH("石像鬼",N331)),ISNUMBER(SEARCH("恶灵骑士",N331)),ISNUMBER(SEARCH("黑蝙蝠",N331)),ISNUMBER(SEARCH("血月使徒",N331))),"werewolves","villagers"))</f>
      </c>
      <c r="P331" s="0" t="inlineStr">
        <is>
          <t xml:space="preserve"/>
        </is>
      </c>
      <c r="Q331" s="0">
        <f>IF(P331="","",IF(ROUND(P331,2)=5,"win","loss"))</f>
      </c>
      <c r="R331" s="0" t="inlineStr">
        <is>
          <t xml:space="preserve"/>
        </is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>
        <f>IF(C332="","",IFERROR(LOOKUP(2,1/(($C$2:$C$1001=C332)*($Q$2:$Q$1001="win")),$O$2:$O$1001),""))</f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>
        <f>IF(N332="","",IF(OR(ISNUMBER(SEARCH("狼",N332)),ISNUMBER(SEARCH("石像鬼",N332)),ISNUMBER(SEARCH("恶灵骑士",N332)),ISNUMBER(SEARCH("黑蝙蝠",N332)),ISNUMBER(SEARCH("血月使徒",N332))),"werewolves","villagers"))</f>
      </c>
      <c r="P332" s="0" t="inlineStr">
        <is>
          <t xml:space="preserve"/>
        </is>
      </c>
      <c r="Q332" s="0">
        <f>IF(P332="","",IF(ROUND(P332,2)=5,"win","loss"))</f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>
        <f>IF(C333="","",IFERROR(LOOKUP(2,1/(($C$2:$C$1001=C333)*($Q$2:$Q$1001="win")),$O$2:$O$1001),""))</f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>
        <f>IF(N333="","",IF(OR(ISNUMBER(SEARCH("狼",N333)),ISNUMBER(SEARCH("石像鬼",N333)),ISNUMBER(SEARCH("恶灵骑士",N333)),ISNUMBER(SEARCH("黑蝙蝠",N333)),ISNUMBER(SEARCH("血月使徒",N333))),"werewolves","villagers"))</f>
      </c>
      <c r="P333" s="0" t="inlineStr">
        <is>
          <t xml:space="preserve"/>
        </is>
      </c>
      <c r="Q333" s="0">
        <f>IF(P333="","",IF(ROUND(P333,2)=5,"win","loss"))</f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>
        <f>IF(C334="","",IFERROR(LOOKUP(2,1/(($C$2:$C$1001=C334)*($Q$2:$Q$1001="win")),$O$2:$O$1001),""))</f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>
        <f>IF(N334="","",IF(OR(ISNUMBER(SEARCH("狼",N334)),ISNUMBER(SEARCH("石像鬼",N334)),ISNUMBER(SEARCH("恶灵骑士",N334)),ISNUMBER(SEARCH("黑蝙蝠",N334)),ISNUMBER(SEARCH("血月使徒",N334))),"werewolves","villagers"))</f>
      </c>
      <c r="P334" s="0" t="inlineStr">
        <is>
          <t xml:space="preserve"/>
        </is>
      </c>
      <c r="Q334" s="0">
        <f>IF(P334="","",IF(ROUND(P334,2)=5,"win","loss"))</f>
      </c>
      <c r="R334" s="0" t="inlineStr">
        <is>
          <t xml:space="preserve"/>
        </is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>
        <f>IF(C335="","",IFERROR(LOOKUP(2,1/(($C$2:$C$1001=C335)*($Q$2:$Q$1001="win")),$O$2:$O$1001),""))</f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>
        <f>IF(N335="","",IF(OR(ISNUMBER(SEARCH("狼",N335)),ISNUMBER(SEARCH("石像鬼",N335)),ISNUMBER(SEARCH("恶灵骑士",N335)),ISNUMBER(SEARCH("黑蝙蝠",N335)),ISNUMBER(SEARCH("血月使徒",N335))),"werewolves","villagers"))</f>
      </c>
      <c r="P335" s="0" t="inlineStr">
        <is>
          <t xml:space="preserve"/>
        </is>
      </c>
      <c r="Q335" s="0">
        <f>IF(P335="","",IF(ROUND(P335,2)=5,"win","loss"))</f>
      </c>
      <c r="R335" s="0" t="inlineStr">
        <is>
          <t xml:space="preserve"/>
        </is>
      </c>
      <c r="S335" s="0" t="inlineStr">
        <is>
          <t xml:space="preserve"/>
        </is>
      </c>
      <c r="T335" s="0" t="inlineStr">
        <is>
          <t xml:space="preserve"/>
        </is>
      </c>
      <c r="U335" s="0" t="inlineStr">
        <is>
          <t xml:space="preserve"/>
        </is>
      </c>
      <c r="V335" s="0" t="inlineStr">
        <is>
          <t xml:space="preserve"/>
        </is>
      </c>
      <c r="W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>
        <f>IF(C336="","",IFERROR(LOOKUP(2,1/(($C$2:$C$1001=C336)*($Q$2:$Q$1001="win")),$O$2:$O$1001),""))</f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>
        <f>IF(N336="","",IF(OR(ISNUMBER(SEARCH("狼",N336)),ISNUMBER(SEARCH("石像鬼",N336)),ISNUMBER(SEARCH("恶灵骑士",N336)),ISNUMBER(SEARCH("黑蝙蝠",N336)),ISNUMBER(SEARCH("血月使徒",N336))),"werewolves","villagers"))</f>
      </c>
      <c r="P336" s="0" t="inlineStr">
        <is>
          <t xml:space="preserve"/>
        </is>
      </c>
      <c r="Q336" s="0">
        <f>IF(P336="","",IF(ROUND(P336,2)=5,"win","loss"))</f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>
        <f>IF(C337="","",IFERROR(LOOKUP(2,1/(($C$2:$C$1001=C337)*($Q$2:$Q$1001="win")),$O$2:$O$1001),""))</f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>
        <f>IF(N337="","",IF(OR(ISNUMBER(SEARCH("狼",N337)),ISNUMBER(SEARCH("石像鬼",N337)),ISNUMBER(SEARCH("恶灵骑士",N337)),ISNUMBER(SEARCH("黑蝙蝠",N337)),ISNUMBER(SEARCH("血月使徒",N337))),"werewolves","villagers"))</f>
      </c>
      <c r="P337" s="0" t="inlineStr">
        <is>
          <t xml:space="preserve"/>
        </is>
      </c>
      <c r="Q337" s="0">
        <f>IF(P337="","",IF(ROUND(P337,2)=5,"win","loss"))</f>
      </c>
      <c r="R337" s="0" t="inlineStr">
        <is>
          <t xml:space="preserve"/>
        </is>
      </c>
      <c r="S337" s="0" t="inlineStr">
        <is>
          <t xml:space="preserve"/>
        </is>
      </c>
      <c r="T337" s="0" t="inlineStr">
        <is>
          <t xml:space="preserve"/>
        </is>
      </c>
      <c r="U337" s="0" t="inlineStr">
        <is>
          <t xml:space="preserve"/>
        </is>
      </c>
      <c r="V337" s="0" t="inlineStr">
        <is>
          <t xml:space="preserve"/>
        </is>
      </c>
      <c r="W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>
        <f>IF(C338="","",IFERROR(LOOKUP(2,1/(($C$2:$C$1001=C338)*($Q$2:$Q$1001="win")),$O$2:$O$1001),""))</f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>
        <f>IF(N338="","",IF(OR(ISNUMBER(SEARCH("狼",N338)),ISNUMBER(SEARCH("石像鬼",N338)),ISNUMBER(SEARCH("恶灵骑士",N338)),ISNUMBER(SEARCH("黑蝙蝠",N338)),ISNUMBER(SEARCH("血月使徒",N338))),"werewolves","villagers"))</f>
      </c>
      <c r="P338" s="0" t="inlineStr">
        <is>
          <t xml:space="preserve"/>
        </is>
      </c>
      <c r="Q338" s="0">
        <f>IF(P338="","",IF(ROUND(P338,2)=5,"win","loss"))</f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>
        <f>IF(C339="","",IFERROR(LOOKUP(2,1/(($C$2:$C$1001=C339)*($Q$2:$Q$1001="win")),$O$2:$O$1001),""))</f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>
        <f>IF(N339="","",IF(OR(ISNUMBER(SEARCH("狼",N339)),ISNUMBER(SEARCH("石像鬼",N339)),ISNUMBER(SEARCH("恶灵骑士",N339)),ISNUMBER(SEARCH("黑蝙蝠",N339)),ISNUMBER(SEARCH("血月使徒",N339))),"werewolves","villagers"))</f>
      </c>
      <c r="P339" s="0" t="inlineStr">
        <is>
          <t xml:space="preserve"/>
        </is>
      </c>
      <c r="Q339" s="0">
        <f>IF(P339="","",IF(ROUND(P339,2)=5,"win","loss"))</f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>
        <f>IF(C340="","",IFERROR(LOOKUP(2,1/(($C$2:$C$1001=C340)*($Q$2:$Q$1001="win")),$O$2:$O$1001),""))</f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>
        <f>IF(N340="","",IF(OR(ISNUMBER(SEARCH("狼",N340)),ISNUMBER(SEARCH("石像鬼",N340)),ISNUMBER(SEARCH("恶灵骑士",N340)),ISNUMBER(SEARCH("黑蝙蝠",N340)),ISNUMBER(SEARCH("血月使徒",N340))),"werewolves","villagers"))</f>
      </c>
      <c r="P340" s="0" t="inlineStr">
        <is>
          <t xml:space="preserve"/>
        </is>
      </c>
      <c r="Q340" s="0">
        <f>IF(P340="","",IF(ROUND(P340,2)=5,"win","loss"))</f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>
        <f>IF(C341="","",IFERROR(LOOKUP(2,1/(($C$2:$C$1001=C341)*($Q$2:$Q$1001="win")),$O$2:$O$1001),""))</f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>
        <f>IF(N341="","",IF(OR(ISNUMBER(SEARCH("狼",N341)),ISNUMBER(SEARCH("石像鬼",N341)),ISNUMBER(SEARCH("恶灵骑士",N341)),ISNUMBER(SEARCH("黑蝙蝠",N341)),ISNUMBER(SEARCH("血月使徒",N341))),"werewolves","villagers"))</f>
      </c>
      <c r="P341" s="0" t="inlineStr">
        <is>
          <t xml:space="preserve"/>
        </is>
      </c>
      <c r="Q341" s="0">
        <f>IF(P341="","",IF(ROUND(P341,2)=5,"win","loss"))</f>
      </c>
      <c r="R341" s="0" t="inlineStr">
        <is>
          <t xml:space="preserve"/>
        </is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>
        <f>IF(C342="","",IFERROR(LOOKUP(2,1/(($C$2:$C$1001=C342)*($Q$2:$Q$1001="win")),$O$2:$O$1001),""))</f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>
        <f>IF(N342="","",IF(OR(ISNUMBER(SEARCH("狼",N342)),ISNUMBER(SEARCH("石像鬼",N342)),ISNUMBER(SEARCH("恶灵骑士",N342)),ISNUMBER(SEARCH("黑蝙蝠",N342)),ISNUMBER(SEARCH("血月使徒",N342))),"werewolves","villagers"))</f>
      </c>
      <c r="P342" s="0" t="inlineStr">
        <is>
          <t xml:space="preserve"/>
        </is>
      </c>
      <c r="Q342" s="0">
        <f>IF(P342="","",IF(ROUND(P342,2)=5,"win","loss"))</f>
      </c>
      <c r="R342" s="0" t="inlineStr">
        <is>
          <t xml:space="preserve"/>
        </is>
      </c>
      <c r="S342" s="0" t="inlineStr">
        <is>
          <t xml:space="preserve"/>
        </is>
      </c>
      <c r="T342" s="0" t="inlineStr">
        <is>
          <t xml:space="preserve"/>
        </is>
      </c>
      <c r="U342" s="0" t="inlineStr">
        <is>
          <t xml:space="preserve"/>
        </is>
      </c>
      <c r="V342" s="0" t="inlineStr">
        <is>
          <t xml:space="preserve"/>
        </is>
      </c>
      <c r="W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>
        <f>IF(C343="","",IFERROR(LOOKUP(2,1/(($C$2:$C$1001=C343)*($Q$2:$Q$1001="win")),$O$2:$O$1001),""))</f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>
        <f>IF(N343="","",IF(OR(ISNUMBER(SEARCH("狼",N343)),ISNUMBER(SEARCH("石像鬼",N343)),ISNUMBER(SEARCH("恶灵骑士",N343)),ISNUMBER(SEARCH("黑蝙蝠",N343)),ISNUMBER(SEARCH("血月使徒",N343))),"werewolves","villagers"))</f>
      </c>
      <c r="P343" s="0" t="inlineStr">
        <is>
          <t xml:space="preserve"/>
        </is>
      </c>
      <c r="Q343" s="0">
        <f>IF(P343="","",IF(ROUND(P343,2)=5,"win","loss"))</f>
      </c>
      <c r="R343" s="0" t="inlineStr">
        <is>
          <t xml:space="preserve"/>
        </is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>
        <f>IF(C344="","",IFERROR(LOOKUP(2,1/(($C$2:$C$1001=C344)*($Q$2:$Q$1001="win")),$O$2:$O$1001),""))</f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>
        <f>IF(N344="","",IF(OR(ISNUMBER(SEARCH("狼",N344)),ISNUMBER(SEARCH("石像鬼",N344)),ISNUMBER(SEARCH("恶灵骑士",N344)),ISNUMBER(SEARCH("黑蝙蝠",N344)),ISNUMBER(SEARCH("血月使徒",N344))),"werewolves","villagers"))</f>
      </c>
      <c r="P344" s="0" t="inlineStr">
        <is>
          <t xml:space="preserve"/>
        </is>
      </c>
      <c r="Q344" s="0">
        <f>IF(P344="","",IF(ROUND(P344,2)=5,"win","loss"))</f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>
        <f>IF(C345="","",IFERROR(LOOKUP(2,1/(($C$2:$C$1001=C345)*($Q$2:$Q$1001="win")),$O$2:$O$1001),""))</f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>
        <f>IF(N345="","",IF(OR(ISNUMBER(SEARCH("狼",N345)),ISNUMBER(SEARCH("石像鬼",N345)),ISNUMBER(SEARCH("恶灵骑士",N345)),ISNUMBER(SEARCH("黑蝙蝠",N345)),ISNUMBER(SEARCH("血月使徒",N345))),"werewolves","villagers"))</f>
      </c>
      <c r="P345" s="0" t="inlineStr">
        <is>
          <t xml:space="preserve"/>
        </is>
      </c>
      <c r="Q345" s="0">
        <f>IF(P345="","",IF(ROUND(P345,2)=5,"win","loss"))</f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>
        <f>IF(C346="","",IFERROR(LOOKUP(2,1/(($C$2:$C$1001=C346)*($Q$2:$Q$1001="win")),$O$2:$O$1001),""))</f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>
        <f>IF(N346="","",IF(OR(ISNUMBER(SEARCH("狼",N346)),ISNUMBER(SEARCH("石像鬼",N346)),ISNUMBER(SEARCH("恶灵骑士",N346)),ISNUMBER(SEARCH("黑蝙蝠",N346)),ISNUMBER(SEARCH("血月使徒",N346))),"werewolves","villagers"))</f>
      </c>
      <c r="P346" s="0" t="inlineStr">
        <is>
          <t xml:space="preserve"/>
        </is>
      </c>
      <c r="Q346" s="0">
        <f>IF(P346="","",IF(ROUND(P346,2)=5,"win","loss"))</f>
      </c>
      <c r="R346" s="0" t="inlineStr">
        <is>
          <t xml:space="preserve"/>
        </is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>
        <f>IF(C347="","",IFERROR(LOOKUP(2,1/(($C$2:$C$1001=C347)*($Q$2:$Q$1001="win")),$O$2:$O$1001),""))</f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>
        <f>IF(N347="","",IF(OR(ISNUMBER(SEARCH("狼",N347)),ISNUMBER(SEARCH("石像鬼",N347)),ISNUMBER(SEARCH("恶灵骑士",N347)),ISNUMBER(SEARCH("黑蝙蝠",N347)),ISNUMBER(SEARCH("血月使徒",N347))),"werewolves","villagers"))</f>
      </c>
      <c r="P347" s="0" t="inlineStr">
        <is>
          <t xml:space="preserve"/>
        </is>
      </c>
      <c r="Q347" s="0">
        <f>IF(P347="","",IF(ROUND(P347,2)=5,"win","loss"))</f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>
        <f>IF(C348="","",IFERROR(LOOKUP(2,1/(($C$2:$C$1001=C348)*($Q$2:$Q$1001="win")),$O$2:$O$1001),""))</f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>
        <f>IF(N348="","",IF(OR(ISNUMBER(SEARCH("狼",N348)),ISNUMBER(SEARCH("石像鬼",N348)),ISNUMBER(SEARCH("恶灵骑士",N348)),ISNUMBER(SEARCH("黑蝙蝠",N348)),ISNUMBER(SEARCH("血月使徒",N348))),"werewolves","villagers"))</f>
      </c>
      <c r="P348" s="0" t="inlineStr">
        <is>
          <t xml:space="preserve"/>
        </is>
      </c>
      <c r="Q348" s="0">
        <f>IF(P348="","",IF(ROUND(P348,2)=5,"win","loss"))</f>
      </c>
      <c r="R348" s="0" t="inlineStr">
        <is>
          <t xml:space="preserve"/>
        </is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>
        <f>IF(C349="","",IFERROR(LOOKUP(2,1/(($C$2:$C$1001=C349)*($Q$2:$Q$1001="win")),$O$2:$O$1001),""))</f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>
        <f>IF(N349="","",IF(OR(ISNUMBER(SEARCH("狼",N349)),ISNUMBER(SEARCH("石像鬼",N349)),ISNUMBER(SEARCH("恶灵骑士",N349)),ISNUMBER(SEARCH("黑蝙蝠",N349)),ISNUMBER(SEARCH("血月使徒",N349))),"werewolves","villagers"))</f>
      </c>
      <c r="P349" s="0" t="inlineStr">
        <is>
          <t xml:space="preserve"/>
        </is>
      </c>
      <c r="Q349" s="0">
        <f>IF(P349="","",IF(ROUND(P349,2)=5,"win","loss"))</f>
      </c>
      <c r="R349" s="0" t="inlineStr">
        <is>
          <t xml:space="preserve"/>
        </is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>
        <f>IF(C350="","",IFERROR(LOOKUP(2,1/(($C$2:$C$1001=C350)*($Q$2:$Q$1001="win")),$O$2:$O$1001),""))</f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>
        <f>IF(N350="","",IF(OR(ISNUMBER(SEARCH("狼",N350)),ISNUMBER(SEARCH("石像鬼",N350)),ISNUMBER(SEARCH("恶灵骑士",N350)),ISNUMBER(SEARCH("黑蝙蝠",N350)),ISNUMBER(SEARCH("血月使徒",N350))),"werewolves","villagers"))</f>
      </c>
      <c r="P350" s="0" t="inlineStr">
        <is>
          <t xml:space="preserve"/>
        </is>
      </c>
      <c r="Q350" s="0">
        <f>IF(P350="","",IF(ROUND(P350,2)=5,"win","loss"))</f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>
        <f>IF(C351="","",IFERROR(LOOKUP(2,1/(($C$2:$C$1001=C351)*($Q$2:$Q$1001="win")),$O$2:$O$1001),""))</f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>
        <f>IF(N351="","",IF(OR(ISNUMBER(SEARCH("狼",N351)),ISNUMBER(SEARCH("石像鬼",N351)),ISNUMBER(SEARCH("恶灵骑士",N351)),ISNUMBER(SEARCH("黑蝙蝠",N351)),ISNUMBER(SEARCH("血月使徒",N351))),"werewolves","villagers"))</f>
      </c>
      <c r="P351" s="0" t="inlineStr">
        <is>
          <t xml:space="preserve"/>
        </is>
      </c>
      <c r="Q351" s="0">
        <f>IF(P351="","",IF(ROUND(P351,2)=5,"win","loss"))</f>
      </c>
      <c r="R351" s="0" t="inlineStr">
        <is>
          <t xml:space="preserve"/>
        </is>
      </c>
      <c r="S351" s="0" t="inlineStr">
        <is>
          <t xml:space="preserve"/>
        </is>
      </c>
      <c r="T351" s="0" t="inlineStr">
        <is>
          <t xml:space="preserve"/>
        </is>
      </c>
      <c r="U351" s="0" t="inlineStr">
        <is>
          <t xml:space="preserve"/>
        </is>
      </c>
      <c r="V351" s="0" t="inlineStr">
        <is>
          <t xml:space="preserve"/>
        </is>
      </c>
      <c r="W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>
        <f>IF(C352="","",IFERROR(LOOKUP(2,1/(($C$2:$C$1001=C352)*($Q$2:$Q$1001="win")),$O$2:$O$1001),""))</f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>
        <f>IF(N352="","",IF(OR(ISNUMBER(SEARCH("狼",N352)),ISNUMBER(SEARCH("石像鬼",N352)),ISNUMBER(SEARCH("恶灵骑士",N352)),ISNUMBER(SEARCH("黑蝙蝠",N352)),ISNUMBER(SEARCH("血月使徒",N352))),"werewolves","villagers"))</f>
      </c>
      <c r="P352" s="0" t="inlineStr">
        <is>
          <t xml:space="preserve"/>
        </is>
      </c>
      <c r="Q352" s="0">
        <f>IF(P352="","",IF(ROUND(P352,2)=5,"win","loss"))</f>
      </c>
      <c r="R352" s="0" t="inlineStr">
        <is>
          <t xml:space="preserve"/>
        </is>
      </c>
      <c r="S352" s="0" t="inlineStr">
        <is>
          <t xml:space="preserve"/>
        </is>
      </c>
      <c r="T352" s="0" t="inlineStr">
        <is>
          <t xml:space="preserve"/>
        </is>
      </c>
      <c r="U352" s="0" t="inlineStr">
        <is>
          <t xml:space="preserve"/>
        </is>
      </c>
      <c r="V352" s="0" t="inlineStr">
        <is>
          <t xml:space="preserve"/>
        </is>
      </c>
      <c r="W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>
        <f>IF(C353="","",IFERROR(LOOKUP(2,1/(($C$2:$C$1001=C353)*($Q$2:$Q$1001="win")),$O$2:$O$1001),""))</f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>
        <f>IF(N353="","",IF(OR(ISNUMBER(SEARCH("狼",N353)),ISNUMBER(SEARCH("石像鬼",N353)),ISNUMBER(SEARCH("恶灵骑士",N353)),ISNUMBER(SEARCH("黑蝙蝠",N353)),ISNUMBER(SEARCH("血月使徒",N353))),"werewolves","villagers"))</f>
      </c>
      <c r="P353" s="0" t="inlineStr">
        <is>
          <t xml:space="preserve"/>
        </is>
      </c>
      <c r="Q353" s="0">
        <f>IF(P353="","",IF(ROUND(P353,2)=5,"win","loss"))</f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>
        <f>IF(C354="","",IFERROR(LOOKUP(2,1/(($C$2:$C$1001=C354)*($Q$2:$Q$1001="win")),$O$2:$O$1001),""))</f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>
        <f>IF(N354="","",IF(OR(ISNUMBER(SEARCH("狼",N354)),ISNUMBER(SEARCH("石像鬼",N354)),ISNUMBER(SEARCH("恶灵骑士",N354)),ISNUMBER(SEARCH("黑蝙蝠",N354)),ISNUMBER(SEARCH("血月使徒",N354))),"werewolves","villagers"))</f>
      </c>
      <c r="P354" s="0" t="inlineStr">
        <is>
          <t xml:space="preserve"/>
        </is>
      </c>
      <c r="Q354" s="0">
        <f>IF(P354="","",IF(ROUND(P354,2)=5,"win","loss"))</f>
      </c>
      <c r="R354" s="0" t="inlineStr">
        <is>
          <t xml:space="preserve"/>
        </is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>
        <f>IF(C355="","",IFERROR(LOOKUP(2,1/(($C$2:$C$1001=C355)*($Q$2:$Q$1001="win")),$O$2:$O$1001),""))</f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>
        <f>IF(N355="","",IF(OR(ISNUMBER(SEARCH("狼",N355)),ISNUMBER(SEARCH("石像鬼",N355)),ISNUMBER(SEARCH("恶灵骑士",N355)),ISNUMBER(SEARCH("黑蝙蝠",N355)),ISNUMBER(SEARCH("血月使徒",N355))),"werewolves","villagers"))</f>
      </c>
      <c r="P355" s="0" t="inlineStr">
        <is>
          <t xml:space="preserve"/>
        </is>
      </c>
      <c r="Q355" s="0">
        <f>IF(P355="","",IF(ROUND(P355,2)=5,"win","loss"))</f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>
        <f>IF(C356="","",IFERROR(LOOKUP(2,1/(($C$2:$C$1001=C356)*($Q$2:$Q$1001="win")),$O$2:$O$1001),""))</f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>
        <f>IF(N356="","",IF(OR(ISNUMBER(SEARCH("狼",N356)),ISNUMBER(SEARCH("石像鬼",N356)),ISNUMBER(SEARCH("恶灵骑士",N356)),ISNUMBER(SEARCH("黑蝙蝠",N356)),ISNUMBER(SEARCH("血月使徒",N356))),"werewolves","villagers"))</f>
      </c>
      <c r="P356" s="0" t="inlineStr">
        <is>
          <t xml:space="preserve"/>
        </is>
      </c>
      <c r="Q356" s="0">
        <f>IF(P356="","",IF(ROUND(P356,2)=5,"win","loss"))</f>
      </c>
      <c r="R356" s="0" t="inlineStr">
        <is>
          <t xml:space="preserve"/>
        </is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>
        <f>IF(C357="","",IFERROR(LOOKUP(2,1/(($C$2:$C$1001=C357)*($Q$2:$Q$1001="win")),$O$2:$O$1001),""))</f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>
        <f>IF(N357="","",IF(OR(ISNUMBER(SEARCH("狼",N357)),ISNUMBER(SEARCH("石像鬼",N357)),ISNUMBER(SEARCH("恶灵骑士",N357)),ISNUMBER(SEARCH("黑蝙蝠",N357)),ISNUMBER(SEARCH("血月使徒",N357))),"werewolves","villagers"))</f>
      </c>
      <c r="P357" s="0" t="inlineStr">
        <is>
          <t xml:space="preserve"/>
        </is>
      </c>
      <c r="Q357" s="0">
        <f>IF(P357="","",IF(ROUND(P357,2)=5,"win","loss"))</f>
      </c>
      <c r="R357" s="0" t="inlineStr">
        <is>
          <t xml:space="preserve"/>
        </is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>
        <f>IF(C358="","",IFERROR(LOOKUP(2,1/(($C$2:$C$1001=C358)*($Q$2:$Q$1001="win")),$O$2:$O$1001),""))</f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>
        <f>IF(N358="","",IF(OR(ISNUMBER(SEARCH("狼",N358)),ISNUMBER(SEARCH("石像鬼",N358)),ISNUMBER(SEARCH("恶灵骑士",N358)),ISNUMBER(SEARCH("黑蝙蝠",N358)),ISNUMBER(SEARCH("血月使徒",N358))),"werewolves","villagers"))</f>
      </c>
      <c r="P358" s="0" t="inlineStr">
        <is>
          <t xml:space="preserve"/>
        </is>
      </c>
      <c r="Q358" s="0">
        <f>IF(P358="","",IF(ROUND(P358,2)=5,"win","loss"))</f>
      </c>
      <c r="R358" s="0" t="inlineStr">
        <is>
          <t xml:space="preserve"/>
        </is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>
        <f>IF(C359="","",IFERROR(LOOKUP(2,1/(($C$2:$C$1001=C359)*($Q$2:$Q$1001="win")),$O$2:$O$1001),""))</f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>
        <f>IF(N359="","",IF(OR(ISNUMBER(SEARCH("狼",N359)),ISNUMBER(SEARCH("石像鬼",N359)),ISNUMBER(SEARCH("恶灵骑士",N359)),ISNUMBER(SEARCH("黑蝙蝠",N359)),ISNUMBER(SEARCH("血月使徒",N359))),"werewolves","villagers"))</f>
      </c>
      <c r="P359" s="0" t="inlineStr">
        <is>
          <t xml:space="preserve"/>
        </is>
      </c>
      <c r="Q359" s="0">
        <f>IF(P359="","",IF(ROUND(P359,2)=5,"win","loss"))</f>
      </c>
      <c r="R359" s="0" t="inlineStr">
        <is>
          <t xml:space="preserve"/>
        </is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>
        <f>IF(C360="","",IFERROR(LOOKUP(2,1/(($C$2:$C$1001=C360)*($Q$2:$Q$1001="win")),$O$2:$O$1001),""))</f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>
        <f>IF(N360="","",IF(OR(ISNUMBER(SEARCH("狼",N360)),ISNUMBER(SEARCH("石像鬼",N360)),ISNUMBER(SEARCH("恶灵骑士",N360)),ISNUMBER(SEARCH("黑蝙蝠",N360)),ISNUMBER(SEARCH("血月使徒",N360))),"werewolves","villagers"))</f>
      </c>
      <c r="P360" s="0" t="inlineStr">
        <is>
          <t xml:space="preserve"/>
        </is>
      </c>
      <c r="Q360" s="0">
        <f>IF(P360="","",IF(ROUND(P360,2)=5,"win","loss"))</f>
      </c>
      <c r="R360" s="0" t="inlineStr">
        <is>
          <t xml:space="preserve"/>
        </is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>
        <f>IF(C361="","",IFERROR(LOOKUP(2,1/(($C$2:$C$1001=C361)*($Q$2:$Q$1001="win")),$O$2:$O$1001),""))</f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>
        <f>IF(N361="","",IF(OR(ISNUMBER(SEARCH("狼",N361)),ISNUMBER(SEARCH("石像鬼",N361)),ISNUMBER(SEARCH("恶灵骑士",N361)),ISNUMBER(SEARCH("黑蝙蝠",N361)),ISNUMBER(SEARCH("血月使徒",N361))),"werewolves","villagers"))</f>
      </c>
      <c r="P361" s="0" t="inlineStr">
        <is>
          <t xml:space="preserve"/>
        </is>
      </c>
      <c r="Q361" s="0">
        <f>IF(P361="","",IF(ROUND(P361,2)=5,"win","loss"))</f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>
        <f>IF(C362="","",IFERROR(LOOKUP(2,1/(($C$2:$C$1001=C362)*($Q$2:$Q$1001="win")),$O$2:$O$1001),""))</f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>
        <f>IF(N362="","",IF(OR(ISNUMBER(SEARCH("狼",N362)),ISNUMBER(SEARCH("石像鬼",N362)),ISNUMBER(SEARCH("恶灵骑士",N362)),ISNUMBER(SEARCH("黑蝙蝠",N362)),ISNUMBER(SEARCH("血月使徒",N362))),"werewolves","villagers"))</f>
      </c>
      <c r="P362" s="0" t="inlineStr">
        <is>
          <t xml:space="preserve"/>
        </is>
      </c>
      <c r="Q362" s="0">
        <f>IF(P362="","",IF(ROUND(P362,2)=5,"win","loss"))</f>
      </c>
      <c r="R362" s="0" t="inlineStr">
        <is>
          <t xml:space="preserve"/>
        </is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>
        <f>IF(C363="","",IFERROR(LOOKUP(2,1/(($C$2:$C$1001=C363)*($Q$2:$Q$1001="win")),$O$2:$O$1001),""))</f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>
        <f>IF(N363="","",IF(OR(ISNUMBER(SEARCH("狼",N363)),ISNUMBER(SEARCH("石像鬼",N363)),ISNUMBER(SEARCH("恶灵骑士",N363)),ISNUMBER(SEARCH("黑蝙蝠",N363)),ISNUMBER(SEARCH("血月使徒",N363))),"werewolves","villagers"))</f>
      </c>
      <c r="P363" s="0" t="inlineStr">
        <is>
          <t xml:space="preserve"/>
        </is>
      </c>
      <c r="Q363" s="0">
        <f>IF(P363="","",IF(ROUND(P363,2)=5,"win","loss"))</f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>
        <f>IF(C364="","",IFERROR(LOOKUP(2,1/(($C$2:$C$1001=C364)*($Q$2:$Q$1001="win")),$O$2:$O$1001),""))</f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>
        <f>IF(N364="","",IF(OR(ISNUMBER(SEARCH("狼",N364)),ISNUMBER(SEARCH("石像鬼",N364)),ISNUMBER(SEARCH("恶灵骑士",N364)),ISNUMBER(SEARCH("黑蝙蝠",N364)),ISNUMBER(SEARCH("血月使徒",N364))),"werewolves","villagers"))</f>
      </c>
      <c r="P364" s="0" t="inlineStr">
        <is>
          <t xml:space="preserve"/>
        </is>
      </c>
      <c r="Q364" s="0">
        <f>IF(P364="","",IF(ROUND(P364,2)=5,"win","loss"))</f>
      </c>
      <c r="R364" s="0" t="inlineStr">
        <is>
          <t xml:space="preserve"/>
        </is>
      </c>
      <c r="S364" s="0" t="inlineStr">
        <is>
          <t xml:space="preserve"/>
        </is>
      </c>
      <c r="T364" s="0" t="inlineStr">
        <is>
          <t xml:space="preserve"/>
        </is>
      </c>
      <c r="U364" s="0" t="inlineStr">
        <is>
          <t xml:space="preserve"/>
        </is>
      </c>
      <c r="V364" s="0" t="inlineStr">
        <is>
          <t xml:space="preserve"/>
        </is>
      </c>
      <c r="W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>
        <f>IF(C365="","",IFERROR(LOOKUP(2,1/(($C$2:$C$1001=C365)*($Q$2:$Q$1001="win")),$O$2:$O$1001),""))</f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>
        <f>IF(N365="","",IF(OR(ISNUMBER(SEARCH("狼",N365)),ISNUMBER(SEARCH("石像鬼",N365)),ISNUMBER(SEARCH("恶灵骑士",N365)),ISNUMBER(SEARCH("黑蝙蝠",N365)),ISNUMBER(SEARCH("血月使徒",N365))),"werewolves","villagers"))</f>
      </c>
      <c r="P365" s="0" t="inlineStr">
        <is>
          <t xml:space="preserve"/>
        </is>
      </c>
      <c r="Q365" s="0">
        <f>IF(P365="","",IF(ROUND(P365,2)=5,"win","loss"))</f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>
        <f>IF(C366="","",IFERROR(LOOKUP(2,1/(($C$2:$C$1001=C366)*($Q$2:$Q$1001="win")),$O$2:$O$1001),""))</f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>
        <f>IF(N366="","",IF(OR(ISNUMBER(SEARCH("狼",N366)),ISNUMBER(SEARCH("石像鬼",N366)),ISNUMBER(SEARCH("恶灵骑士",N366)),ISNUMBER(SEARCH("黑蝙蝠",N366)),ISNUMBER(SEARCH("血月使徒",N366))),"werewolves","villagers"))</f>
      </c>
      <c r="P366" s="0" t="inlineStr">
        <is>
          <t xml:space="preserve"/>
        </is>
      </c>
      <c r="Q366" s="0">
        <f>IF(P366="","",IF(ROUND(P366,2)=5,"win","loss"))</f>
      </c>
      <c r="R366" s="0" t="inlineStr">
        <is>
          <t xml:space="preserve"/>
        </is>
      </c>
      <c r="S366" s="0" t="inlineStr">
        <is>
          <t xml:space="preserve"/>
        </is>
      </c>
      <c r="T366" s="0" t="inlineStr">
        <is>
          <t xml:space="preserve"/>
        </is>
      </c>
      <c r="U366" s="0" t="inlineStr">
        <is>
          <t xml:space="preserve"/>
        </is>
      </c>
      <c r="V366" s="0" t="inlineStr">
        <is>
          <t xml:space="preserve"/>
        </is>
      </c>
      <c r="W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>
        <f>IF(C367="","",IFERROR(LOOKUP(2,1/(($C$2:$C$1001=C367)*($Q$2:$Q$1001="win")),$O$2:$O$1001),""))</f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>
        <f>IF(N367="","",IF(OR(ISNUMBER(SEARCH("狼",N367)),ISNUMBER(SEARCH("石像鬼",N367)),ISNUMBER(SEARCH("恶灵骑士",N367)),ISNUMBER(SEARCH("黑蝙蝠",N367)),ISNUMBER(SEARCH("血月使徒",N367))),"werewolves","villagers"))</f>
      </c>
      <c r="P367" s="0" t="inlineStr">
        <is>
          <t xml:space="preserve"/>
        </is>
      </c>
      <c r="Q367" s="0">
        <f>IF(P367="","",IF(ROUND(P367,2)=5,"win","loss"))</f>
      </c>
      <c r="R367" s="0" t="inlineStr">
        <is>
          <t xml:space="preserve"/>
        </is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>
        <f>IF(C368="","",IFERROR(LOOKUP(2,1/(($C$2:$C$1001=C368)*($Q$2:$Q$1001="win")),$O$2:$O$1001),""))</f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>
        <f>IF(N368="","",IF(OR(ISNUMBER(SEARCH("狼",N368)),ISNUMBER(SEARCH("石像鬼",N368)),ISNUMBER(SEARCH("恶灵骑士",N368)),ISNUMBER(SEARCH("黑蝙蝠",N368)),ISNUMBER(SEARCH("血月使徒",N368))),"werewolves","villagers"))</f>
      </c>
      <c r="P368" s="0" t="inlineStr">
        <is>
          <t xml:space="preserve"/>
        </is>
      </c>
      <c r="Q368" s="0">
        <f>IF(P368="","",IF(ROUND(P368,2)=5,"win","loss"))</f>
      </c>
      <c r="R368" s="0" t="inlineStr">
        <is>
          <t xml:space="preserve"/>
        </is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>
        <f>IF(C369="","",IFERROR(LOOKUP(2,1/(($C$2:$C$1001=C369)*($Q$2:$Q$1001="win")),$O$2:$O$1001),""))</f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>
        <f>IF(N369="","",IF(OR(ISNUMBER(SEARCH("狼",N369)),ISNUMBER(SEARCH("石像鬼",N369)),ISNUMBER(SEARCH("恶灵骑士",N369)),ISNUMBER(SEARCH("黑蝙蝠",N369)),ISNUMBER(SEARCH("血月使徒",N369))),"werewolves","villagers"))</f>
      </c>
      <c r="P369" s="0" t="inlineStr">
        <is>
          <t xml:space="preserve"/>
        </is>
      </c>
      <c r="Q369" s="0">
        <f>IF(P369="","",IF(ROUND(P369,2)=5,"win","loss"))</f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>
        <f>IF(C370="","",IFERROR(LOOKUP(2,1/(($C$2:$C$1001=C370)*($Q$2:$Q$1001="win")),$O$2:$O$1001),""))</f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>
        <f>IF(N370="","",IF(OR(ISNUMBER(SEARCH("狼",N370)),ISNUMBER(SEARCH("石像鬼",N370)),ISNUMBER(SEARCH("恶灵骑士",N370)),ISNUMBER(SEARCH("黑蝙蝠",N370)),ISNUMBER(SEARCH("血月使徒",N370))),"werewolves","villagers"))</f>
      </c>
      <c r="P370" s="0" t="inlineStr">
        <is>
          <t xml:space="preserve"/>
        </is>
      </c>
      <c r="Q370" s="0">
        <f>IF(P370="","",IF(ROUND(P370,2)=5,"win","loss"))</f>
      </c>
      <c r="R370" s="0" t="inlineStr">
        <is>
          <t xml:space="preserve"/>
        </is>
      </c>
      <c r="S370" s="0" t="inlineStr">
        <is>
          <t xml:space="preserve"/>
        </is>
      </c>
      <c r="T370" s="0" t="inlineStr">
        <is>
          <t xml:space="preserve"/>
        </is>
      </c>
      <c r="U370" s="0" t="inlineStr">
        <is>
          <t xml:space="preserve"/>
        </is>
      </c>
      <c r="V370" s="0" t="inlineStr">
        <is>
          <t xml:space="preserve"/>
        </is>
      </c>
      <c r="W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>
        <f>IF(C371="","",IFERROR(LOOKUP(2,1/(($C$2:$C$1001=C371)*($Q$2:$Q$1001="win")),$O$2:$O$1001),""))</f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>
        <f>IF(N371="","",IF(OR(ISNUMBER(SEARCH("狼",N371)),ISNUMBER(SEARCH("石像鬼",N371)),ISNUMBER(SEARCH("恶灵骑士",N371)),ISNUMBER(SEARCH("黑蝙蝠",N371)),ISNUMBER(SEARCH("血月使徒",N371))),"werewolves","villagers"))</f>
      </c>
      <c r="P371" s="0" t="inlineStr">
        <is>
          <t xml:space="preserve"/>
        </is>
      </c>
      <c r="Q371" s="0">
        <f>IF(P371="","",IF(ROUND(P371,2)=5,"win","loss"))</f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>
        <f>IF(C372="","",IFERROR(LOOKUP(2,1/(($C$2:$C$1001=C372)*($Q$2:$Q$1001="win")),$O$2:$O$1001),""))</f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>
        <f>IF(N372="","",IF(OR(ISNUMBER(SEARCH("狼",N372)),ISNUMBER(SEARCH("石像鬼",N372)),ISNUMBER(SEARCH("恶灵骑士",N372)),ISNUMBER(SEARCH("黑蝙蝠",N372)),ISNUMBER(SEARCH("血月使徒",N372))),"werewolves","villagers"))</f>
      </c>
      <c r="P372" s="0" t="inlineStr">
        <is>
          <t xml:space="preserve"/>
        </is>
      </c>
      <c r="Q372" s="0">
        <f>IF(P372="","",IF(ROUND(P372,2)=5,"win","loss"))</f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>
        <f>IF(C373="","",IFERROR(LOOKUP(2,1/(($C$2:$C$1001=C373)*($Q$2:$Q$1001="win")),$O$2:$O$1001),""))</f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>
        <f>IF(N373="","",IF(OR(ISNUMBER(SEARCH("狼",N373)),ISNUMBER(SEARCH("石像鬼",N373)),ISNUMBER(SEARCH("恶灵骑士",N373)),ISNUMBER(SEARCH("黑蝙蝠",N373)),ISNUMBER(SEARCH("血月使徒",N373))),"werewolves","villagers"))</f>
      </c>
      <c r="P373" s="0" t="inlineStr">
        <is>
          <t xml:space="preserve"/>
        </is>
      </c>
      <c r="Q373" s="0">
        <f>IF(P373="","",IF(ROUND(P373,2)=5,"win","loss"))</f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>
        <f>IF(C374="","",IFERROR(LOOKUP(2,1/(($C$2:$C$1001=C374)*($Q$2:$Q$1001="win")),$O$2:$O$1001),""))</f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>
        <f>IF(N374="","",IF(OR(ISNUMBER(SEARCH("狼",N374)),ISNUMBER(SEARCH("石像鬼",N374)),ISNUMBER(SEARCH("恶灵骑士",N374)),ISNUMBER(SEARCH("黑蝙蝠",N374)),ISNUMBER(SEARCH("血月使徒",N374))),"werewolves","villagers"))</f>
      </c>
      <c r="P374" s="0" t="inlineStr">
        <is>
          <t xml:space="preserve"/>
        </is>
      </c>
      <c r="Q374" s="0">
        <f>IF(P374="","",IF(ROUND(P374,2)=5,"win","loss"))</f>
      </c>
      <c r="R374" s="0" t="inlineStr">
        <is>
          <t xml:space="preserve"/>
        </is>
      </c>
      <c r="S374" s="0" t="inlineStr">
        <is>
          <t xml:space="preserve"/>
        </is>
      </c>
      <c r="T374" s="0" t="inlineStr">
        <is>
          <t xml:space="preserve"/>
        </is>
      </c>
      <c r="U374" s="0" t="inlineStr">
        <is>
          <t xml:space="preserve"/>
        </is>
      </c>
      <c r="V374" s="0" t="inlineStr">
        <is>
          <t xml:space="preserve"/>
        </is>
      </c>
      <c r="W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>
        <f>IF(C375="","",IFERROR(LOOKUP(2,1/(($C$2:$C$1001=C375)*($Q$2:$Q$1001="win")),$O$2:$O$1001),""))</f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>
        <f>IF(N375="","",IF(OR(ISNUMBER(SEARCH("狼",N375)),ISNUMBER(SEARCH("石像鬼",N375)),ISNUMBER(SEARCH("恶灵骑士",N375)),ISNUMBER(SEARCH("黑蝙蝠",N375)),ISNUMBER(SEARCH("血月使徒",N375))),"werewolves","villagers"))</f>
      </c>
      <c r="P375" s="0" t="inlineStr">
        <is>
          <t xml:space="preserve"/>
        </is>
      </c>
      <c r="Q375" s="0">
        <f>IF(P375="","",IF(ROUND(P375,2)=5,"win","loss"))</f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>
        <f>IF(C376="","",IFERROR(LOOKUP(2,1/(($C$2:$C$1001=C376)*($Q$2:$Q$1001="win")),$O$2:$O$1001),""))</f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>
        <f>IF(N376="","",IF(OR(ISNUMBER(SEARCH("狼",N376)),ISNUMBER(SEARCH("石像鬼",N376)),ISNUMBER(SEARCH("恶灵骑士",N376)),ISNUMBER(SEARCH("黑蝙蝠",N376)),ISNUMBER(SEARCH("血月使徒",N376))),"werewolves","villagers"))</f>
      </c>
      <c r="P376" s="0" t="inlineStr">
        <is>
          <t xml:space="preserve"/>
        </is>
      </c>
      <c r="Q376" s="0">
        <f>IF(P376="","",IF(ROUND(P376,2)=5,"win","loss"))</f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>
        <f>IF(C377="","",IFERROR(LOOKUP(2,1/(($C$2:$C$1001=C377)*($Q$2:$Q$1001="win")),$O$2:$O$1001),""))</f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>
        <f>IF(N377="","",IF(OR(ISNUMBER(SEARCH("狼",N377)),ISNUMBER(SEARCH("石像鬼",N377)),ISNUMBER(SEARCH("恶灵骑士",N377)),ISNUMBER(SEARCH("黑蝙蝠",N377)),ISNUMBER(SEARCH("血月使徒",N377))),"werewolves","villagers"))</f>
      </c>
      <c r="P377" s="0" t="inlineStr">
        <is>
          <t xml:space="preserve"/>
        </is>
      </c>
      <c r="Q377" s="0">
        <f>IF(P377="","",IF(ROUND(P377,2)=5,"win","loss"))</f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>
        <f>IF(C378="","",IFERROR(LOOKUP(2,1/(($C$2:$C$1001=C378)*($Q$2:$Q$1001="win")),$O$2:$O$1001),""))</f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>
        <f>IF(N378="","",IF(OR(ISNUMBER(SEARCH("狼",N378)),ISNUMBER(SEARCH("石像鬼",N378)),ISNUMBER(SEARCH("恶灵骑士",N378)),ISNUMBER(SEARCH("黑蝙蝠",N378)),ISNUMBER(SEARCH("血月使徒",N378))),"werewolves","villagers"))</f>
      </c>
      <c r="P378" s="0" t="inlineStr">
        <is>
          <t xml:space="preserve"/>
        </is>
      </c>
      <c r="Q378" s="0">
        <f>IF(P378="","",IF(ROUND(P378,2)=5,"win","loss"))</f>
      </c>
      <c r="R378" s="0" t="inlineStr">
        <is>
          <t xml:space="preserve"/>
        </is>
      </c>
      <c r="S378" s="0" t="inlineStr">
        <is>
          <t xml:space="preserve"/>
        </is>
      </c>
      <c r="T378" s="0" t="inlineStr">
        <is>
          <t xml:space="preserve"/>
        </is>
      </c>
      <c r="U378" s="0" t="inlineStr">
        <is>
          <t xml:space="preserve"/>
        </is>
      </c>
      <c r="V378" s="0" t="inlineStr">
        <is>
          <t xml:space="preserve"/>
        </is>
      </c>
      <c r="W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>
        <f>IF(C379="","",IFERROR(LOOKUP(2,1/(($C$2:$C$1001=C379)*($Q$2:$Q$1001="win")),$O$2:$O$1001),""))</f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>
        <f>IF(N379="","",IF(OR(ISNUMBER(SEARCH("狼",N379)),ISNUMBER(SEARCH("石像鬼",N379)),ISNUMBER(SEARCH("恶灵骑士",N379)),ISNUMBER(SEARCH("黑蝙蝠",N379)),ISNUMBER(SEARCH("血月使徒",N379))),"werewolves","villagers"))</f>
      </c>
      <c r="P379" s="0" t="inlineStr">
        <is>
          <t xml:space="preserve"/>
        </is>
      </c>
      <c r="Q379" s="0">
        <f>IF(P379="","",IF(ROUND(P379,2)=5,"win","loss"))</f>
      </c>
      <c r="R379" s="0" t="inlineStr">
        <is>
          <t xml:space="preserve"/>
        </is>
      </c>
      <c r="S379" s="0" t="inlineStr">
        <is>
          <t xml:space="preserve"/>
        </is>
      </c>
      <c r="T379" s="0" t="inlineStr">
        <is>
          <t xml:space="preserve"/>
        </is>
      </c>
      <c r="U379" s="0" t="inlineStr">
        <is>
          <t xml:space="preserve"/>
        </is>
      </c>
      <c r="V379" s="0" t="inlineStr">
        <is>
          <t xml:space="preserve"/>
        </is>
      </c>
      <c r="W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>
        <f>IF(C380="","",IFERROR(LOOKUP(2,1/(($C$2:$C$1001=C380)*($Q$2:$Q$1001="win")),$O$2:$O$1001),""))</f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>
        <f>IF(N380="","",IF(OR(ISNUMBER(SEARCH("狼",N380)),ISNUMBER(SEARCH("石像鬼",N380)),ISNUMBER(SEARCH("恶灵骑士",N380)),ISNUMBER(SEARCH("黑蝙蝠",N380)),ISNUMBER(SEARCH("血月使徒",N380))),"werewolves","villagers"))</f>
      </c>
      <c r="P380" s="0" t="inlineStr">
        <is>
          <t xml:space="preserve"/>
        </is>
      </c>
      <c r="Q380" s="0">
        <f>IF(P380="","",IF(ROUND(P380,2)=5,"win","loss"))</f>
      </c>
      <c r="R380" s="0" t="inlineStr">
        <is>
          <t xml:space="preserve"/>
        </is>
      </c>
      <c r="S380" s="0" t="inlineStr">
        <is>
          <t xml:space="preserve"/>
        </is>
      </c>
      <c r="T380" s="0" t="inlineStr">
        <is>
          <t xml:space="preserve"/>
        </is>
      </c>
      <c r="U380" s="0" t="inlineStr">
        <is>
          <t xml:space="preserve"/>
        </is>
      </c>
      <c r="V380" s="0" t="inlineStr">
        <is>
          <t xml:space="preserve"/>
        </is>
      </c>
      <c r="W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>
        <f>IF(C381="","",IFERROR(LOOKUP(2,1/(($C$2:$C$1001=C381)*($Q$2:$Q$1001="win")),$O$2:$O$1001),""))</f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>
        <f>IF(N381="","",IF(OR(ISNUMBER(SEARCH("狼",N381)),ISNUMBER(SEARCH("石像鬼",N381)),ISNUMBER(SEARCH("恶灵骑士",N381)),ISNUMBER(SEARCH("黑蝙蝠",N381)),ISNUMBER(SEARCH("血月使徒",N381))),"werewolves","villagers"))</f>
      </c>
      <c r="P381" s="0" t="inlineStr">
        <is>
          <t xml:space="preserve"/>
        </is>
      </c>
      <c r="Q381" s="0">
        <f>IF(P381="","",IF(ROUND(P381,2)=5,"win","loss"))</f>
      </c>
      <c r="R381" s="0" t="inlineStr">
        <is>
          <t xml:space="preserve"/>
        </is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>
        <f>IF(C382="","",IFERROR(LOOKUP(2,1/(($C$2:$C$1001=C382)*($Q$2:$Q$1001="win")),$O$2:$O$1001),""))</f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>
        <f>IF(N382="","",IF(OR(ISNUMBER(SEARCH("狼",N382)),ISNUMBER(SEARCH("石像鬼",N382)),ISNUMBER(SEARCH("恶灵骑士",N382)),ISNUMBER(SEARCH("黑蝙蝠",N382)),ISNUMBER(SEARCH("血月使徒",N382))),"werewolves","villagers"))</f>
      </c>
      <c r="P382" s="0" t="inlineStr">
        <is>
          <t xml:space="preserve"/>
        </is>
      </c>
      <c r="Q382" s="0">
        <f>IF(P382="","",IF(ROUND(P382,2)=5,"win","loss"))</f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>
        <f>IF(C383="","",IFERROR(LOOKUP(2,1/(($C$2:$C$1001=C383)*($Q$2:$Q$1001="win")),$O$2:$O$1001),""))</f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>
        <f>IF(N383="","",IF(OR(ISNUMBER(SEARCH("狼",N383)),ISNUMBER(SEARCH("石像鬼",N383)),ISNUMBER(SEARCH("恶灵骑士",N383)),ISNUMBER(SEARCH("黑蝙蝠",N383)),ISNUMBER(SEARCH("血月使徒",N383))),"werewolves","villagers"))</f>
      </c>
      <c r="P383" s="0" t="inlineStr">
        <is>
          <t xml:space="preserve"/>
        </is>
      </c>
      <c r="Q383" s="0">
        <f>IF(P383="","",IF(ROUND(P383,2)=5,"win","loss"))</f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>
        <f>IF(C384="","",IFERROR(LOOKUP(2,1/(($C$2:$C$1001=C384)*($Q$2:$Q$1001="win")),$O$2:$O$1001),""))</f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>
        <f>IF(N384="","",IF(OR(ISNUMBER(SEARCH("狼",N384)),ISNUMBER(SEARCH("石像鬼",N384)),ISNUMBER(SEARCH("恶灵骑士",N384)),ISNUMBER(SEARCH("黑蝙蝠",N384)),ISNUMBER(SEARCH("血月使徒",N384))),"werewolves","villagers"))</f>
      </c>
      <c r="P384" s="0" t="inlineStr">
        <is>
          <t xml:space="preserve"/>
        </is>
      </c>
      <c r="Q384" s="0">
        <f>IF(P384="","",IF(ROUND(P384,2)=5,"win","loss"))</f>
      </c>
      <c r="R384" s="0" t="inlineStr">
        <is>
          <t xml:space="preserve"/>
        </is>
      </c>
      <c r="S384" s="0" t="inlineStr">
        <is>
          <t xml:space="preserve"/>
        </is>
      </c>
      <c r="T384" s="0" t="inlineStr">
        <is>
          <t xml:space="preserve"/>
        </is>
      </c>
      <c r="U384" s="0" t="inlineStr">
        <is>
          <t xml:space="preserve"/>
        </is>
      </c>
      <c r="V384" s="0" t="inlineStr">
        <is>
          <t xml:space="preserve"/>
        </is>
      </c>
      <c r="W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>
        <f>IF(C385="","",IFERROR(LOOKUP(2,1/(($C$2:$C$1001=C385)*($Q$2:$Q$1001="win")),$O$2:$O$1001),""))</f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>
        <f>IF(N385="","",IF(OR(ISNUMBER(SEARCH("狼",N385)),ISNUMBER(SEARCH("石像鬼",N385)),ISNUMBER(SEARCH("恶灵骑士",N385)),ISNUMBER(SEARCH("黑蝙蝠",N385)),ISNUMBER(SEARCH("血月使徒",N385))),"werewolves","villagers"))</f>
      </c>
      <c r="P385" s="0" t="inlineStr">
        <is>
          <t xml:space="preserve"/>
        </is>
      </c>
      <c r="Q385" s="0">
        <f>IF(P385="","",IF(ROUND(P385,2)=5,"win","loss"))</f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>
        <f>IF(C386="","",IFERROR(LOOKUP(2,1/(($C$2:$C$1001=C386)*($Q$2:$Q$1001="win")),$O$2:$O$1001),""))</f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>
        <f>IF(N386="","",IF(OR(ISNUMBER(SEARCH("狼",N386)),ISNUMBER(SEARCH("石像鬼",N386)),ISNUMBER(SEARCH("恶灵骑士",N386)),ISNUMBER(SEARCH("黑蝙蝠",N386)),ISNUMBER(SEARCH("血月使徒",N386))),"werewolves","villagers"))</f>
      </c>
      <c r="P386" s="0" t="inlineStr">
        <is>
          <t xml:space="preserve"/>
        </is>
      </c>
      <c r="Q386" s="0">
        <f>IF(P386="","",IF(ROUND(P386,2)=5,"win","loss"))</f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>
        <f>IF(C387="","",IFERROR(LOOKUP(2,1/(($C$2:$C$1001=C387)*($Q$2:$Q$1001="win")),$O$2:$O$1001),""))</f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>
        <f>IF(N387="","",IF(OR(ISNUMBER(SEARCH("狼",N387)),ISNUMBER(SEARCH("石像鬼",N387)),ISNUMBER(SEARCH("恶灵骑士",N387)),ISNUMBER(SEARCH("黑蝙蝠",N387)),ISNUMBER(SEARCH("血月使徒",N387))),"werewolves","villagers"))</f>
      </c>
      <c r="P387" s="0" t="inlineStr">
        <is>
          <t xml:space="preserve"/>
        </is>
      </c>
      <c r="Q387" s="0">
        <f>IF(P387="","",IF(ROUND(P387,2)=5,"win","loss"))</f>
      </c>
      <c r="R387" s="0" t="inlineStr">
        <is>
          <t xml:space="preserve"/>
        </is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>
        <f>IF(C388="","",IFERROR(LOOKUP(2,1/(($C$2:$C$1001=C388)*($Q$2:$Q$1001="win")),$O$2:$O$1001),""))</f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>
        <f>IF(N388="","",IF(OR(ISNUMBER(SEARCH("狼",N388)),ISNUMBER(SEARCH("石像鬼",N388)),ISNUMBER(SEARCH("恶灵骑士",N388)),ISNUMBER(SEARCH("黑蝙蝠",N388)),ISNUMBER(SEARCH("血月使徒",N388))),"werewolves","villagers"))</f>
      </c>
      <c r="P388" s="0" t="inlineStr">
        <is>
          <t xml:space="preserve"/>
        </is>
      </c>
      <c r="Q388" s="0">
        <f>IF(P388="","",IF(ROUND(P388,2)=5,"win","loss"))</f>
      </c>
      <c r="R388" s="0" t="inlineStr">
        <is>
          <t xml:space="preserve"/>
        </is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>
        <f>IF(C389="","",IFERROR(LOOKUP(2,1/(($C$2:$C$1001=C389)*($Q$2:$Q$1001="win")),$O$2:$O$1001),""))</f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>
        <f>IF(N389="","",IF(OR(ISNUMBER(SEARCH("狼",N389)),ISNUMBER(SEARCH("石像鬼",N389)),ISNUMBER(SEARCH("恶灵骑士",N389)),ISNUMBER(SEARCH("黑蝙蝠",N389)),ISNUMBER(SEARCH("血月使徒",N389))),"werewolves","villagers"))</f>
      </c>
      <c r="P389" s="0" t="inlineStr">
        <is>
          <t xml:space="preserve"/>
        </is>
      </c>
      <c r="Q389" s="0">
        <f>IF(P389="","",IF(ROUND(P389,2)=5,"win","loss"))</f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>
        <f>IF(C390="","",IFERROR(LOOKUP(2,1/(($C$2:$C$1001=C390)*($Q$2:$Q$1001="win")),$O$2:$O$1001),""))</f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>
        <f>IF(N390="","",IF(OR(ISNUMBER(SEARCH("狼",N390)),ISNUMBER(SEARCH("石像鬼",N390)),ISNUMBER(SEARCH("恶灵骑士",N390)),ISNUMBER(SEARCH("黑蝙蝠",N390)),ISNUMBER(SEARCH("血月使徒",N390))),"werewolves","villagers"))</f>
      </c>
      <c r="P390" s="0" t="inlineStr">
        <is>
          <t xml:space="preserve"/>
        </is>
      </c>
      <c r="Q390" s="0">
        <f>IF(P390="","",IF(ROUND(P390,2)=5,"win","loss"))</f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>
        <f>IF(C391="","",IFERROR(LOOKUP(2,1/(($C$2:$C$1001=C391)*($Q$2:$Q$1001="win")),$O$2:$O$1001),""))</f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>
        <f>IF(N391="","",IF(OR(ISNUMBER(SEARCH("狼",N391)),ISNUMBER(SEARCH("石像鬼",N391)),ISNUMBER(SEARCH("恶灵骑士",N391)),ISNUMBER(SEARCH("黑蝙蝠",N391)),ISNUMBER(SEARCH("血月使徒",N391))),"werewolves","villagers"))</f>
      </c>
      <c r="P391" s="0" t="inlineStr">
        <is>
          <t xml:space="preserve"/>
        </is>
      </c>
      <c r="Q391" s="0">
        <f>IF(P391="","",IF(ROUND(P391,2)=5,"win","loss"))</f>
      </c>
      <c r="R391" s="0" t="inlineStr">
        <is>
          <t xml:space="preserve"/>
        </is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>
        <f>IF(C392="","",IFERROR(LOOKUP(2,1/(($C$2:$C$1001=C392)*($Q$2:$Q$1001="win")),$O$2:$O$1001),""))</f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>
        <f>IF(N392="","",IF(OR(ISNUMBER(SEARCH("狼",N392)),ISNUMBER(SEARCH("石像鬼",N392)),ISNUMBER(SEARCH("恶灵骑士",N392)),ISNUMBER(SEARCH("黑蝙蝠",N392)),ISNUMBER(SEARCH("血月使徒",N392))),"werewolves","villagers"))</f>
      </c>
      <c r="P392" s="0" t="inlineStr">
        <is>
          <t xml:space="preserve"/>
        </is>
      </c>
      <c r="Q392" s="0">
        <f>IF(P392="","",IF(ROUND(P392,2)=5,"win","loss"))</f>
      </c>
      <c r="R392" s="0" t="inlineStr">
        <is>
          <t xml:space="preserve"/>
        </is>
      </c>
      <c r="S392" s="0" t="inlineStr">
        <is>
          <t xml:space="preserve"/>
        </is>
      </c>
      <c r="T392" s="0" t="inlineStr">
        <is>
          <t xml:space="preserve"/>
        </is>
      </c>
      <c r="U392" s="0" t="inlineStr">
        <is>
          <t xml:space="preserve"/>
        </is>
      </c>
      <c r="V392" s="0" t="inlineStr">
        <is>
          <t xml:space="preserve"/>
        </is>
      </c>
      <c r="W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>
        <f>IF(C393="","",IFERROR(LOOKUP(2,1/(($C$2:$C$1001=C393)*($Q$2:$Q$1001="win")),$O$2:$O$1001),""))</f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>
        <f>IF(N393="","",IF(OR(ISNUMBER(SEARCH("狼",N393)),ISNUMBER(SEARCH("石像鬼",N393)),ISNUMBER(SEARCH("恶灵骑士",N393)),ISNUMBER(SEARCH("黑蝙蝠",N393)),ISNUMBER(SEARCH("血月使徒",N393))),"werewolves","villagers"))</f>
      </c>
      <c r="P393" s="0" t="inlineStr">
        <is>
          <t xml:space="preserve"/>
        </is>
      </c>
      <c r="Q393" s="0">
        <f>IF(P393="","",IF(ROUND(P393,2)=5,"win","loss"))</f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>
        <f>IF(C394="","",IFERROR(LOOKUP(2,1/(($C$2:$C$1001=C394)*($Q$2:$Q$1001="win")),$O$2:$O$1001),""))</f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>
        <f>IF(N394="","",IF(OR(ISNUMBER(SEARCH("狼",N394)),ISNUMBER(SEARCH("石像鬼",N394)),ISNUMBER(SEARCH("恶灵骑士",N394)),ISNUMBER(SEARCH("黑蝙蝠",N394)),ISNUMBER(SEARCH("血月使徒",N394))),"werewolves","villagers"))</f>
      </c>
      <c r="P394" s="0" t="inlineStr">
        <is>
          <t xml:space="preserve"/>
        </is>
      </c>
      <c r="Q394" s="0">
        <f>IF(P394="","",IF(ROUND(P394,2)=5,"win","loss"))</f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>
        <f>IF(C395="","",IFERROR(LOOKUP(2,1/(($C$2:$C$1001=C395)*($Q$2:$Q$1001="win")),$O$2:$O$1001),""))</f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>
        <f>IF(N395="","",IF(OR(ISNUMBER(SEARCH("狼",N395)),ISNUMBER(SEARCH("石像鬼",N395)),ISNUMBER(SEARCH("恶灵骑士",N395)),ISNUMBER(SEARCH("黑蝙蝠",N395)),ISNUMBER(SEARCH("血月使徒",N395))),"werewolves","villagers"))</f>
      </c>
      <c r="P395" s="0" t="inlineStr">
        <is>
          <t xml:space="preserve"/>
        </is>
      </c>
      <c r="Q395" s="0">
        <f>IF(P395="","",IF(ROUND(P395,2)=5,"win","loss"))</f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>
        <f>IF(C396="","",IFERROR(LOOKUP(2,1/(($C$2:$C$1001=C396)*($Q$2:$Q$1001="win")),$O$2:$O$1001),""))</f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>
        <f>IF(N396="","",IF(OR(ISNUMBER(SEARCH("狼",N396)),ISNUMBER(SEARCH("石像鬼",N396)),ISNUMBER(SEARCH("恶灵骑士",N396)),ISNUMBER(SEARCH("黑蝙蝠",N396)),ISNUMBER(SEARCH("血月使徒",N396))),"werewolves","villagers"))</f>
      </c>
      <c r="P396" s="0" t="inlineStr">
        <is>
          <t xml:space="preserve"/>
        </is>
      </c>
      <c r="Q396" s="0">
        <f>IF(P396="","",IF(ROUND(P396,2)=5,"win","loss"))</f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>
        <f>IF(C397="","",IFERROR(LOOKUP(2,1/(($C$2:$C$1001=C397)*($Q$2:$Q$1001="win")),$O$2:$O$1001),""))</f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>
        <f>IF(N397="","",IF(OR(ISNUMBER(SEARCH("狼",N397)),ISNUMBER(SEARCH("石像鬼",N397)),ISNUMBER(SEARCH("恶灵骑士",N397)),ISNUMBER(SEARCH("黑蝙蝠",N397)),ISNUMBER(SEARCH("血月使徒",N397))),"werewolves","villagers"))</f>
      </c>
      <c r="P397" s="0" t="inlineStr">
        <is>
          <t xml:space="preserve"/>
        </is>
      </c>
      <c r="Q397" s="0">
        <f>IF(P397="","",IF(ROUND(P397,2)=5,"win","loss"))</f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>
        <f>IF(C398="","",IFERROR(LOOKUP(2,1/(($C$2:$C$1001=C398)*($Q$2:$Q$1001="win")),$O$2:$O$1001),""))</f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>
        <f>IF(N398="","",IF(OR(ISNUMBER(SEARCH("狼",N398)),ISNUMBER(SEARCH("石像鬼",N398)),ISNUMBER(SEARCH("恶灵骑士",N398)),ISNUMBER(SEARCH("黑蝙蝠",N398)),ISNUMBER(SEARCH("血月使徒",N398))),"werewolves","villagers"))</f>
      </c>
      <c r="P398" s="0" t="inlineStr">
        <is>
          <t xml:space="preserve"/>
        </is>
      </c>
      <c r="Q398" s="0">
        <f>IF(P398="","",IF(ROUND(P398,2)=5,"win","loss"))</f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>
        <f>IF(C399="","",IFERROR(LOOKUP(2,1/(($C$2:$C$1001=C399)*($Q$2:$Q$1001="win")),$O$2:$O$1001),""))</f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>
        <f>IF(N399="","",IF(OR(ISNUMBER(SEARCH("狼",N399)),ISNUMBER(SEARCH("石像鬼",N399)),ISNUMBER(SEARCH("恶灵骑士",N399)),ISNUMBER(SEARCH("黑蝙蝠",N399)),ISNUMBER(SEARCH("血月使徒",N399))),"werewolves","villagers"))</f>
      </c>
      <c r="P399" s="0" t="inlineStr">
        <is>
          <t xml:space="preserve"/>
        </is>
      </c>
      <c r="Q399" s="0">
        <f>IF(P399="","",IF(ROUND(P399,2)=5,"win","loss"))</f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>
        <f>IF(C400="","",IFERROR(LOOKUP(2,1/(($C$2:$C$1001=C400)*($Q$2:$Q$1001="win")),$O$2:$O$1001),""))</f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>
        <f>IF(N400="","",IF(OR(ISNUMBER(SEARCH("狼",N400)),ISNUMBER(SEARCH("石像鬼",N400)),ISNUMBER(SEARCH("恶灵骑士",N400)),ISNUMBER(SEARCH("黑蝙蝠",N400)),ISNUMBER(SEARCH("血月使徒",N400))),"werewolves","villagers"))</f>
      </c>
      <c r="P400" s="0" t="inlineStr">
        <is>
          <t xml:space="preserve"/>
        </is>
      </c>
      <c r="Q400" s="0">
        <f>IF(P400="","",IF(ROUND(P400,2)=5,"win","loss"))</f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>
        <f>IF(C401="","",IFERROR(LOOKUP(2,1/(($C$2:$C$1001=C401)*($Q$2:$Q$1001="win")),$O$2:$O$1001),""))</f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>
        <f>IF(N401="","",IF(OR(ISNUMBER(SEARCH("狼",N401)),ISNUMBER(SEARCH("石像鬼",N401)),ISNUMBER(SEARCH("恶灵骑士",N401)),ISNUMBER(SEARCH("黑蝙蝠",N401)),ISNUMBER(SEARCH("血月使徒",N401))),"werewolves","villagers"))</f>
      </c>
      <c r="P401" s="0" t="inlineStr">
        <is>
          <t xml:space="preserve"/>
        </is>
      </c>
      <c r="Q401" s="0">
        <f>IF(P401="","",IF(ROUND(P401,2)=5,"win","loss"))</f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>
        <f>IF(C402="","",IFERROR(LOOKUP(2,1/(($C$2:$C$1001=C402)*($Q$2:$Q$1001="win")),$O$2:$O$1001),""))</f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>
        <f>IF(N402="","",IF(OR(ISNUMBER(SEARCH("狼",N402)),ISNUMBER(SEARCH("石像鬼",N402)),ISNUMBER(SEARCH("恶灵骑士",N402)),ISNUMBER(SEARCH("黑蝙蝠",N402)),ISNUMBER(SEARCH("血月使徒",N402))),"werewolves","villagers"))</f>
      </c>
      <c r="P402" s="0" t="inlineStr">
        <is>
          <t xml:space="preserve"/>
        </is>
      </c>
      <c r="Q402" s="0">
        <f>IF(P402="","",IF(ROUND(P402,2)=5,"win","loss"))</f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>
        <f>IF(C403="","",IFERROR(LOOKUP(2,1/(($C$2:$C$1001=C403)*($Q$2:$Q$1001="win")),$O$2:$O$1001),""))</f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>
        <f>IF(N403="","",IF(OR(ISNUMBER(SEARCH("狼",N403)),ISNUMBER(SEARCH("石像鬼",N403)),ISNUMBER(SEARCH("恶灵骑士",N403)),ISNUMBER(SEARCH("黑蝙蝠",N403)),ISNUMBER(SEARCH("血月使徒",N403))),"werewolves","villagers"))</f>
      </c>
      <c r="P403" s="0" t="inlineStr">
        <is>
          <t xml:space="preserve"/>
        </is>
      </c>
      <c r="Q403" s="0">
        <f>IF(P403="","",IF(ROUND(P403,2)=5,"win","loss"))</f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>
        <f>IF(C404="","",IFERROR(LOOKUP(2,1/(($C$2:$C$1001=C404)*($Q$2:$Q$1001="win")),$O$2:$O$1001),""))</f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>
        <f>IF(N404="","",IF(OR(ISNUMBER(SEARCH("狼",N404)),ISNUMBER(SEARCH("石像鬼",N404)),ISNUMBER(SEARCH("恶灵骑士",N404)),ISNUMBER(SEARCH("黑蝙蝠",N404)),ISNUMBER(SEARCH("血月使徒",N404))),"werewolves","villagers"))</f>
      </c>
      <c r="P404" s="0" t="inlineStr">
        <is>
          <t xml:space="preserve"/>
        </is>
      </c>
      <c r="Q404" s="0">
        <f>IF(P404="","",IF(ROUND(P404,2)=5,"win","loss"))</f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>
        <f>IF(C405="","",IFERROR(LOOKUP(2,1/(($C$2:$C$1001=C405)*($Q$2:$Q$1001="win")),$O$2:$O$1001),""))</f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>
        <f>IF(N405="","",IF(OR(ISNUMBER(SEARCH("狼",N405)),ISNUMBER(SEARCH("石像鬼",N405)),ISNUMBER(SEARCH("恶灵骑士",N405)),ISNUMBER(SEARCH("黑蝙蝠",N405)),ISNUMBER(SEARCH("血月使徒",N405))),"werewolves","villagers"))</f>
      </c>
      <c r="P405" s="0" t="inlineStr">
        <is>
          <t xml:space="preserve"/>
        </is>
      </c>
      <c r="Q405" s="0">
        <f>IF(P405="","",IF(ROUND(P405,2)=5,"win","loss"))</f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>
        <f>IF(C406="","",IFERROR(LOOKUP(2,1/(($C$2:$C$1001=C406)*($Q$2:$Q$1001="win")),$O$2:$O$1001),""))</f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>
        <f>IF(N406="","",IF(OR(ISNUMBER(SEARCH("狼",N406)),ISNUMBER(SEARCH("石像鬼",N406)),ISNUMBER(SEARCH("恶灵骑士",N406)),ISNUMBER(SEARCH("黑蝙蝠",N406)),ISNUMBER(SEARCH("血月使徒",N406))),"werewolves","villagers"))</f>
      </c>
      <c r="P406" s="0" t="inlineStr">
        <is>
          <t xml:space="preserve"/>
        </is>
      </c>
      <c r="Q406" s="0">
        <f>IF(P406="","",IF(ROUND(P406,2)=5,"win","loss"))</f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>
        <f>IF(C407="","",IFERROR(LOOKUP(2,1/(($C$2:$C$1001=C407)*($Q$2:$Q$1001="win")),$O$2:$O$1001),""))</f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>
        <f>IF(N407="","",IF(OR(ISNUMBER(SEARCH("狼",N407)),ISNUMBER(SEARCH("石像鬼",N407)),ISNUMBER(SEARCH("恶灵骑士",N407)),ISNUMBER(SEARCH("黑蝙蝠",N407)),ISNUMBER(SEARCH("血月使徒",N407))),"werewolves","villagers"))</f>
      </c>
      <c r="P407" s="0" t="inlineStr">
        <is>
          <t xml:space="preserve"/>
        </is>
      </c>
      <c r="Q407" s="0">
        <f>IF(P407="","",IF(ROUND(P407,2)=5,"win","loss"))</f>
      </c>
      <c r="R407" s="0" t="inlineStr">
        <is>
          <t xml:space="preserve"/>
        </is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>
        <f>IF(C408="","",IFERROR(LOOKUP(2,1/(($C$2:$C$1001=C408)*($Q$2:$Q$1001="win")),$O$2:$O$1001),""))</f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>
        <f>IF(N408="","",IF(OR(ISNUMBER(SEARCH("狼",N408)),ISNUMBER(SEARCH("石像鬼",N408)),ISNUMBER(SEARCH("恶灵骑士",N408)),ISNUMBER(SEARCH("黑蝙蝠",N408)),ISNUMBER(SEARCH("血月使徒",N408))),"werewolves","villagers"))</f>
      </c>
      <c r="P408" s="0" t="inlineStr">
        <is>
          <t xml:space="preserve"/>
        </is>
      </c>
      <c r="Q408" s="0">
        <f>IF(P408="","",IF(ROUND(P408,2)=5,"win","loss"))</f>
      </c>
      <c r="R408" s="0" t="inlineStr">
        <is>
          <t xml:space="preserve"/>
        </is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>
        <f>IF(C409="","",IFERROR(LOOKUP(2,1/(($C$2:$C$1001=C409)*($Q$2:$Q$1001="win")),$O$2:$O$1001),""))</f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>
        <f>IF(N409="","",IF(OR(ISNUMBER(SEARCH("狼",N409)),ISNUMBER(SEARCH("石像鬼",N409)),ISNUMBER(SEARCH("恶灵骑士",N409)),ISNUMBER(SEARCH("黑蝙蝠",N409)),ISNUMBER(SEARCH("血月使徒",N409))),"werewolves","villagers"))</f>
      </c>
      <c r="P409" s="0" t="inlineStr">
        <is>
          <t xml:space="preserve"/>
        </is>
      </c>
      <c r="Q409" s="0">
        <f>IF(P409="","",IF(ROUND(P409,2)=5,"win","loss"))</f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>
        <f>IF(C410="","",IFERROR(LOOKUP(2,1/(($C$2:$C$1001=C410)*($Q$2:$Q$1001="win")),$O$2:$O$1001),""))</f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>
        <f>IF(N410="","",IF(OR(ISNUMBER(SEARCH("狼",N410)),ISNUMBER(SEARCH("石像鬼",N410)),ISNUMBER(SEARCH("恶灵骑士",N410)),ISNUMBER(SEARCH("黑蝙蝠",N410)),ISNUMBER(SEARCH("血月使徒",N410))),"werewolves","villagers"))</f>
      </c>
      <c r="P410" s="0" t="inlineStr">
        <is>
          <t xml:space="preserve"/>
        </is>
      </c>
      <c r="Q410" s="0">
        <f>IF(P410="","",IF(ROUND(P410,2)=5,"win","loss"))</f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>
        <f>IF(C411="","",IFERROR(LOOKUP(2,1/(($C$2:$C$1001=C411)*($Q$2:$Q$1001="win")),$O$2:$O$1001),""))</f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>
        <f>IF(N411="","",IF(OR(ISNUMBER(SEARCH("狼",N411)),ISNUMBER(SEARCH("石像鬼",N411)),ISNUMBER(SEARCH("恶灵骑士",N411)),ISNUMBER(SEARCH("黑蝙蝠",N411)),ISNUMBER(SEARCH("血月使徒",N411))),"werewolves","villagers"))</f>
      </c>
      <c r="P411" s="0" t="inlineStr">
        <is>
          <t xml:space="preserve"/>
        </is>
      </c>
      <c r="Q411" s="0">
        <f>IF(P411="","",IF(ROUND(P411,2)=5,"win","loss"))</f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>
        <f>IF(C412="","",IFERROR(LOOKUP(2,1/(($C$2:$C$1001=C412)*($Q$2:$Q$1001="win")),$O$2:$O$1001),""))</f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>
        <f>IF(N412="","",IF(OR(ISNUMBER(SEARCH("狼",N412)),ISNUMBER(SEARCH("石像鬼",N412)),ISNUMBER(SEARCH("恶灵骑士",N412)),ISNUMBER(SEARCH("黑蝙蝠",N412)),ISNUMBER(SEARCH("血月使徒",N412))),"werewolves","villagers"))</f>
      </c>
      <c r="P412" s="0" t="inlineStr">
        <is>
          <t xml:space="preserve"/>
        </is>
      </c>
      <c r="Q412" s="0">
        <f>IF(P412="","",IF(ROUND(P412,2)=5,"win","loss"))</f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>
        <f>IF(C413="","",IFERROR(LOOKUP(2,1/(($C$2:$C$1001=C413)*($Q$2:$Q$1001="win")),$O$2:$O$1001),""))</f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>
        <f>IF(N413="","",IF(OR(ISNUMBER(SEARCH("狼",N413)),ISNUMBER(SEARCH("石像鬼",N413)),ISNUMBER(SEARCH("恶灵骑士",N413)),ISNUMBER(SEARCH("黑蝙蝠",N413)),ISNUMBER(SEARCH("血月使徒",N413))),"werewolves","villagers"))</f>
      </c>
      <c r="P413" s="0" t="inlineStr">
        <is>
          <t xml:space="preserve"/>
        </is>
      </c>
      <c r="Q413" s="0">
        <f>IF(P413="","",IF(ROUND(P413,2)=5,"win","loss"))</f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>
        <f>IF(C414="","",IFERROR(LOOKUP(2,1/(($C$2:$C$1001=C414)*($Q$2:$Q$1001="win")),$O$2:$O$1001),""))</f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>
        <f>IF(N414="","",IF(OR(ISNUMBER(SEARCH("狼",N414)),ISNUMBER(SEARCH("石像鬼",N414)),ISNUMBER(SEARCH("恶灵骑士",N414)),ISNUMBER(SEARCH("黑蝙蝠",N414)),ISNUMBER(SEARCH("血月使徒",N414))),"werewolves","villagers"))</f>
      </c>
      <c r="P414" s="0" t="inlineStr">
        <is>
          <t xml:space="preserve"/>
        </is>
      </c>
      <c r="Q414" s="0">
        <f>IF(P414="","",IF(ROUND(P414,2)=5,"win","loss"))</f>
      </c>
      <c r="R414" s="0" t="inlineStr">
        <is>
          <t xml:space="preserve"/>
        </is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>
        <f>IF(C415="","",IFERROR(LOOKUP(2,1/(($C$2:$C$1001=C415)*($Q$2:$Q$1001="win")),$O$2:$O$1001),""))</f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>
        <f>IF(N415="","",IF(OR(ISNUMBER(SEARCH("狼",N415)),ISNUMBER(SEARCH("石像鬼",N415)),ISNUMBER(SEARCH("恶灵骑士",N415)),ISNUMBER(SEARCH("黑蝙蝠",N415)),ISNUMBER(SEARCH("血月使徒",N415))),"werewolves","villagers"))</f>
      </c>
      <c r="P415" s="0" t="inlineStr">
        <is>
          <t xml:space="preserve"/>
        </is>
      </c>
      <c r="Q415" s="0">
        <f>IF(P415="","",IF(ROUND(P415,2)=5,"win","loss"))</f>
      </c>
      <c r="R415" s="0" t="inlineStr">
        <is>
          <t xml:space="preserve"/>
        </is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>
        <f>IF(C416="","",IFERROR(LOOKUP(2,1/(($C$2:$C$1001=C416)*($Q$2:$Q$1001="win")),$O$2:$O$1001),""))</f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>
        <f>IF(N416="","",IF(OR(ISNUMBER(SEARCH("狼",N416)),ISNUMBER(SEARCH("石像鬼",N416)),ISNUMBER(SEARCH("恶灵骑士",N416)),ISNUMBER(SEARCH("黑蝙蝠",N416)),ISNUMBER(SEARCH("血月使徒",N416))),"werewolves","villagers"))</f>
      </c>
      <c r="P416" s="0" t="inlineStr">
        <is>
          <t xml:space="preserve"/>
        </is>
      </c>
      <c r="Q416" s="0">
        <f>IF(P416="","",IF(ROUND(P416,2)=5,"win","loss"))</f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>
        <f>IF(C417="","",IFERROR(LOOKUP(2,1/(($C$2:$C$1001=C417)*($Q$2:$Q$1001="win")),$O$2:$O$1001),""))</f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>
        <f>IF(N417="","",IF(OR(ISNUMBER(SEARCH("狼",N417)),ISNUMBER(SEARCH("石像鬼",N417)),ISNUMBER(SEARCH("恶灵骑士",N417)),ISNUMBER(SEARCH("黑蝙蝠",N417)),ISNUMBER(SEARCH("血月使徒",N417))),"werewolves","villagers"))</f>
      </c>
      <c r="P417" s="0" t="inlineStr">
        <is>
          <t xml:space="preserve"/>
        </is>
      </c>
      <c r="Q417" s="0">
        <f>IF(P417="","",IF(ROUND(P417,2)=5,"win","loss"))</f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>
        <f>IF(C418="","",IFERROR(LOOKUP(2,1/(($C$2:$C$1001=C418)*($Q$2:$Q$1001="win")),$O$2:$O$1001),""))</f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>
        <f>IF(N418="","",IF(OR(ISNUMBER(SEARCH("狼",N418)),ISNUMBER(SEARCH("石像鬼",N418)),ISNUMBER(SEARCH("恶灵骑士",N418)),ISNUMBER(SEARCH("黑蝙蝠",N418)),ISNUMBER(SEARCH("血月使徒",N418))),"werewolves","villagers"))</f>
      </c>
      <c r="P418" s="0" t="inlineStr">
        <is>
          <t xml:space="preserve"/>
        </is>
      </c>
      <c r="Q418" s="0">
        <f>IF(P418="","",IF(ROUND(P418,2)=5,"win","loss"))</f>
      </c>
      <c r="R418" s="0" t="inlineStr">
        <is>
          <t xml:space="preserve"/>
        </is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>
        <f>IF(C419="","",IFERROR(LOOKUP(2,1/(($C$2:$C$1001=C419)*($Q$2:$Q$1001="win")),$O$2:$O$1001),""))</f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>
        <f>IF(N419="","",IF(OR(ISNUMBER(SEARCH("狼",N419)),ISNUMBER(SEARCH("石像鬼",N419)),ISNUMBER(SEARCH("恶灵骑士",N419)),ISNUMBER(SEARCH("黑蝙蝠",N419)),ISNUMBER(SEARCH("血月使徒",N419))),"werewolves","villagers"))</f>
      </c>
      <c r="P419" s="0" t="inlineStr">
        <is>
          <t xml:space="preserve"/>
        </is>
      </c>
      <c r="Q419" s="0">
        <f>IF(P419="","",IF(ROUND(P419,2)=5,"win","loss"))</f>
      </c>
      <c r="R419" s="0" t="inlineStr">
        <is>
          <t xml:space="preserve"/>
        </is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>
        <f>IF(C420="","",IFERROR(LOOKUP(2,1/(($C$2:$C$1001=C420)*($Q$2:$Q$1001="win")),$O$2:$O$1001),""))</f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>
        <f>IF(N420="","",IF(OR(ISNUMBER(SEARCH("狼",N420)),ISNUMBER(SEARCH("石像鬼",N420)),ISNUMBER(SEARCH("恶灵骑士",N420)),ISNUMBER(SEARCH("黑蝙蝠",N420)),ISNUMBER(SEARCH("血月使徒",N420))),"werewolves","villagers"))</f>
      </c>
      <c r="P420" s="0" t="inlineStr">
        <is>
          <t xml:space="preserve"/>
        </is>
      </c>
      <c r="Q420" s="0">
        <f>IF(P420="","",IF(ROUND(P420,2)=5,"win","loss"))</f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>
        <f>IF(C421="","",IFERROR(LOOKUP(2,1/(($C$2:$C$1001=C421)*($Q$2:$Q$1001="win")),$O$2:$O$1001),""))</f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>
        <f>IF(N421="","",IF(OR(ISNUMBER(SEARCH("狼",N421)),ISNUMBER(SEARCH("石像鬼",N421)),ISNUMBER(SEARCH("恶灵骑士",N421)),ISNUMBER(SEARCH("黑蝙蝠",N421)),ISNUMBER(SEARCH("血月使徒",N421))),"werewolves","villagers"))</f>
      </c>
      <c r="P421" s="0" t="inlineStr">
        <is>
          <t xml:space="preserve"/>
        </is>
      </c>
      <c r="Q421" s="0">
        <f>IF(P421="","",IF(ROUND(P421,2)=5,"win","loss"))</f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>
        <f>IF(C422="","",IFERROR(LOOKUP(2,1/(($C$2:$C$1001=C422)*($Q$2:$Q$1001="win")),$O$2:$O$1001),""))</f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>
        <f>IF(N422="","",IF(OR(ISNUMBER(SEARCH("狼",N422)),ISNUMBER(SEARCH("石像鬼",N422)),ISNUMBER(SEARCH("恶灵骑士",N422)),ISNUMBER(SEARCH("黑蝙蝠",N422)),ISNUMBER(SEARCH("血月使徒",N422))),"werewolves","villagers"))</f>
      </c>
      <c r="P422" s="0" t="inlineStr">
        <is>
          <t xml:space="preserve"/>
        </is>
      </c>
      <c r="Q422" s="0">
        <f>IF(P422="","",IF(ROUND(P422,2)=5,"win","loss"))</f>
      </c>
      <c r="R422" s="0" t="inlineStr">
        <is>
          <t xml:space="preserve"/>
        </is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>
        <f>IF(C423="","",IFERROR(LOOKUP(2,1/(($C$2:$C$1001=C423)*($Q$2:$Q$1001="win")),$O$2:$O$1001),""))</f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>
        <f>IF(N423="","",IF(OR(ISNUMBER(SEARCH("狼",N423)),ISNUMBER(SEARCH("石像鬼",N423)),ISNUMBER(SEARCH("恶灵骑士",N423)),ISNUMBER(SEARCH("黑蝙蝠",N423)),ISNUMBER(SEARCH("血月使徒",N423))),"werewolves","villagers"))</f>
      </c>
      <c r="P423" s="0" t="inlineStr">
        <is>
          <t xml:space="preserve"/>
        </is>
      </c>
      <c r="Q423" s="0">
        <f>IF(P423="","",IF(ROUND(P423,2)=5,"win","loss"))</f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>
        <f>IF(C424="","",IFERROR(LOOKUP(2,1/(($C$2:$C$1001=C424)*($Q$2:$Q$1001="win")),$O$2:$O$1001),""))</f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>
        <f>IF(N424="","",IF(OR(ISNUMBER(SEARCH("狼",N424)),ISNUMBER(SEARCH("石像鬼",N424)),ISNUMBER(SEARCH("恶灵骑士",N424)),ISNUMBER(SEARCH("黑蝙蝠",N424)),ISNUMBER(SEARCH("血月使徒",N424))),"werewolves","villagers"))</f>
      </c>
      <c r="P424" s="0" t="inlineStr">
        <is>
          <t xml:space="preserve"/>
        </is>
      </c>
      <c r="Q424" s="0">
        <f>IF(P424="","",IF(ROUND(P424,2)=5,"win","loss"))</f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>
        <f>IF(C425="","",IFERROR(LOOKUP(2,1/(($C$2:$C$1001=C425)*($Q$2:$Q$1001="win")),$O$2:$O$1001),""))</f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>
        <f>IF(N425="","",IF(OR(ISNUMBER(SEARCH("狼",N425)),ISNUMBER(SEARCH("石像鬼",N425)),ISNUMBER(SEARCH("恶灵骑士",N425)),ISNUMBER(SEARCH("黑蝙蝠",N425)),ISNUMBER(SEARCH("血月使徒",N425))),"werewolves","villagers"))</f>
      </c>
      <c r="P425" s="0" t="inlineStr">
        <is>
          <t xml:space="preserve"/>
        </is>
      </c>
      <c r="Q425" s="0">
        <f>IF(P425="","",IF(ROUND(P425,2)=5,"win","loss"))</f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>
        <f>IF(C426="","",IFERROR(LOOKUP(2,1/(($C$2:$C$1001=C426)*($Q$2:$Q$1001="win")),$O$2:$O$1001),""))</f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>
        <f>IF(N426="","",IF(OR(ISNUMBER(SEARCH("狼",N426)),ISNUMBER(SEARCH("石像鬼",N426)),ISNUMBER(SEARCH("恶灵骑士",N426)),ISNUMBER(SEARCH("黑蝙蝠",N426)),ISNUMBER(SEARCH("血月使徒",N426))),"werewolves","villagers"))</f>
      </c>
      <c r="P426" s="0" t="inlineStr">
        <is>
          <t xml:space="preserve"/>
        </is>
      </c>
      <c r="Q426" s="0">
        <f>IF(P426="","",IF(ROUND(P426,2)=5,"win","loss"))</f>
      </c>
      <c r="R426" s="0" t="inlineStr">
        <is>
          <t xml:space="preserve"/>
        </is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>
        <f>IF(C427="","",IFERROR(LOOKUP(2,1/(($C$2:$C$1001=C427)*($Q$2:$Q$1001="win")),$O$2:$O$1001),""))</f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>
        <f>IF(N427="","",IF(OR(ISNUMBER(SEARCH("狼",N427)),ISNUMBER(SEARCH("石像鬼",N427)),ISNUMBER(SEARCH("恶灵骑士",N427)),ISNUMBER(SEARCH("黑蝙蝠",N427)),ISNUMBER(SEARCH("血月使徒",N427))),"werewolves","villagers"))</f>
      </c>
      <c r="P427" s="0" t="inlineStr">
        <is>
          <t xml:space="preserve"/>
        </is>
      </c>
      <c r="Q427" s="0">
        <f>IF(P427="","",IF(ROUND(P427,2)=5,"win","loss"))</f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>
        <f>IF(C428="","",IFERROR(LOOKUP(2,1/(($C$2:$C$1001=C428)*($Q$2:$Q$1001="win")),$O$2:$O$1001),""))</f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>
        <f>IF(N428="","",IF(OR(ISNUMBER(SEARCH("狼",N428)),ISNUMBER(SEARCH("石像鬼",N428)),ISNUMBER(SEARCH("恶灵骑士",N428)),ISNUMBER(SEARCH("黑蝙蝠",N428)),ISNUMBER(SEARCH("血月使徒",N428))),"werewolves","villagers"))</f>
      </c>
      <c r="P428" s="0" t="inlineStr">
        <is>
          <t xml:space="preserve"/>
        </is>
      </c>
      <c r="Q428" s="0">
        <f>IF(P428="","",IF(ROUND(P428,2)=5,"win","loss"))</f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>
        <f>IF(C429="","",IFERROR(LOOKUP(2,1/(($C$2:$C$1001=C429)*($Q$2:$Q$1001="win")),$O$2:$O$1001),""))</f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>
        <f>IF(N429="","",IF(OR(ISNUMBER(SEARCH("狼",N429)),ISNUMBER(SEARCH("石像鬼",N429)),ISNUMBER(SEARCH("恶灵骑士",N429)),ISNUMBER(SEARCH("黑蝙蝠",N429)),ISNUMBER(SEARCH("血月使徒",N429))),"werewolves","villagers"))</f>
      </c>
      <c r="P429" s="0" t="inlineStr">
        <is>
          <t xml:space="preserve"/>
        </is>
      </c>
      <c r="Q429" s="0">
        <f>IF(P429="","",IF(ROUND(P429,2)=5,"win","loss"))</f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>
        <f>IF(C430="","",IFERROR(LOOKUP(2,1/(($C$2:$C$1001=C430)*($Q$2:$Q$1001="win")),$O$2:$O$1001),""))</f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>
        <f>IF(N430="","",IF(OR(ISNUMBER(SEARCH("狼",N430)),ISNUMBER(SEARCH("石像鬼",N430)),ISNUMBER(SEARCH("恶灵骑士",N430)),ISNUMBER(SEARCH("黑蝙蝠",N430)),ISNUMBER(SEARCH("血月使徒",N430))),"werewolves","villagers"))</f>
      </c>
      <c r="P430" s="0" t="inlineStr">
        <is>
          <t xml:space="preserve"/>
        </is>
      </c>
      <c r="Q430" s="0">
        <f>IF(P430="","",IF(ROUND(P430,2)=5,"win","loss"))</f>
      </c>
      <c r="R430" s="0" t="inlineStr">
        <is>
          <t xml:space="preserve"/>
        </is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>
        <f>IF(C431="","",IFERROR(LOOKUP(2,1/(($C$2:$C$1001=C431)*($Q$2:$Q$1001="win")),$O$2:$O$1001),""))</f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>
        <f>IF(N431="","",IF(OR(ISNUMBER(SEARCH("狼",N431)),ISNUMBER(SEARCH("石像鬼",N431)),ISNUMBER(SEARCH("恶灵骑士",N431)),ISNUMBER(SEARCH("黑蝙蝠",N431)),ISNUMBER(SEARCH("血月使徒",N431))),"werewolves","villagers"))</f>
      </c>
      <c r="P431" s="0" t="inlineStr">
        <is>
          <t xml:space="preserve"/>
        </is>
      </c>
      <c r="Q431" s="0">
        <f>IF(P431="","",IF(ROUND(P431,2)=5,"win","loss"))</f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>
        <f>IF(C432="","",IFERROR(LOOKUP(2,1/(($C$2:$C$1001=C432)*($Q$2:$Q$1001="win")),$O$2:$O$1001),""))</f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>
        <f>IF(N432="","",IF(OR(ISNUMBER(SEARCH("狼",N432)),ISNUMBER(SEARCH("石像鬼",N432)),ISNUMBER(SEARCH("恶灵骑士",N432)),ISNUMBER(SEARCH("黑蝙蝠",N432)),ISNUMBER(SEARCH("血月使徒",N432))),"werewolves","villagers"))</f>
      </c>
      <c r="P432" s="0" t="inlineStr">
        <is>
          <t xml:space="preserve"/>
        </is>
      </c>
      <c r="Q432" s="0">
        <f>IF(P432="","",IF(ROUND(P432,2)=5,"win","loss"))</f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>
        <f>IF(C433="","",IFERROR(LOOKUP(2,1/(($C$2:$C$1001=C433)*($Q$2:$Q$1001="win")),$O$2:$O$1001),""))</f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>
        <f>IF(N433="","",IF(OR(ISNUMBER(SEARCH("狼",N433)),ISNUMBER(SEARCH("石像鬼",N433)),ISNUMBER(SEARCH("恶灵骑士",N433)),ISNUMBER(SEARCH("黑蝙蝠",N433)),ISNUMBER(SEARCH("血月使徒",N433))),"werewolves","villagers"))</f>
      </c>
      <c r="P433" s="0" t="inlineStr">
        <is>
          <t xml:space="preserve"/>
        </is>
      </c>
      <c r="Q433" s="0">
        <f>IF(P433="","",IF(ROUND(P433,2)=5,"win","loss"))</f>
      </c>
      <c r="R433" s="0" t="inlineStr">
        <is>
          <t xml:space="preserve"/>
        </is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>
        <f>IF(C434="","",IFERROR(LOOKUP(2,1/(($C$2:$C$1001=C434)*($Q$2:$Q$1001="win")),$O$2:$O$1001),""))</f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>
        <f>IF(N434="","",IF(OR(ISNUMBER(SEARCH("狼",N434)),ISNUMBER(SEARCH("石像鬼",N434)),ISNUMBER(SEARCH("恶灵骑士",N434)),ISNUMBER(SEARCH("黑蝙蝠",N434)),ISNUMBER(SEARCH("血月使徒",N434))),"werewolves","villagers"))</f>
      </c>
      <c r="P434" s="0" t="inlineStr">
        <is>
          <t xml:space="preserve"/>
        </is>
      </c>
      <c r="Q434" s="0">
        <f>IF(P434="","",IF(ROUND(P434,2)=5,"win","loss"))</f>
      </c>
      <c r="R434" s="0" t="inlineStr">
        <is>
          <t xml:space="preserve"/>
        </is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>
        <f>IF(C435="","",IFERROR(LOOKUP(2,1/(($C$2:$C$1001=C435)*($Q$2:$Q$1001="win")),$O$2:$O$1001),""))</f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>
        <f>IF(N435="","",IF(OR(ISNUMBER(SEARCH("狼",N435)),ISNUMBER(SEARCH("石像鬼",N435)),ISNUMBER(SEARCH("恶灵骑士",N435)),ISNUMBER(SEARCH("黑蝙蝠",N435)),ISNUMBER(SEARCH("血月使徒",N435))),"werewolves","villagers"))</f>
      </c>
      <c r="P435" s="0" t="inlineStr">
        <is>
          <t xml:space="preserve"/>
        </is>
      </c>
      <c r="Q435" s="0">
        <f>IF(P435="","",IF(ROUND(P435,2)=5,"win","loss"))</f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>
        <f>IF(C436="","",IFERROR(LOOKUP(2,1/(($C$2:$C$1001=C436)*($Q$2:$Q$1001="win")),$O$2:$O$1001),""))</f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>
        <f>IF(N436="","",IF(OR(ISNUMBER(SEARCH("狼",N436)),ISNUMBER(SEARCH("石像鬼",N436)),ISNUMBER(SEARCH("恶灵骑士",N436)),ISNUMBER(SEARCH("黑蝙蝠",N436)),ISNUMBER(SEARCH("血月使徒",N436))),"werewolves","villagers"))</f>
      </c>
      <c r="P436" s="0" t="inlineStr">
        <is>
          <t xml:space="preserve"/>
        </is>
      </c>
      <c r="Q436" s="0">
        <f>IF(P436="","",IF(ROUND(P436,2)=5,"win","loss"))</f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>
        <f>IF(C437="","",IFERROR(LOOKUP(2,1/(($C$2:$C$1001=C437)*($Q$2:$Q$1001="win")),$O$2:$O$1001),""))</f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>
        <f>IF(N437="","",IF(OR(ISNUMBER(SEARCH("狼",N437)),ISNUMBER(SEARCH("石像鬼",N437)),ISNUMBER(SEARCH("恶灵骑士",N437)),ISNUMBER(SEARCH("黑蝙蝠",N437)),ISNUMBER(SEARCH("血月使徒",N437))),"werewolves","villagers"))</f>
      </c>
      <c r="P437" s="0" t="inlineStr">
        <is>
          <t xml:space="preserve"/>
        </is>
      </c>
      <c r="Q437" s="0">
        <f>IF(P437="","",IF(ROUND(P437,2)=5,"win","loss"))</f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>
        <f>IF(C438="","",IFERROR(LOOKUP(2,1/(($C$2:$C$1001=C438)*($Q$2:$Q$1001="win")),$O$2:$O$1001),""))</f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>
        <f>IF(N438="","",IF(OR(ISNUMBER(SEARCH("狼",N438)),ISNUMBER(SEARCH("石像鬼",N438)),ISNUMBER(SEARCH("恶灵骑士",N438)),ISNUMBER(SEARCH("黑蝙蝠",N438)),ISNUMBER(SEARCH("血月使徒",N438))),"werewolves","villagers"))</f>
      </c>
      <c r="P438" s="0" t="inlineStr">
        <is>
          <t xml:space="preserve"/>
        </is>
      </c>
      <c r="Q438" s="0">
        <f>IF(P438="","",IF(ROUND(P438,2)=5,"win","loss"))</f>
      </c>
      <c r="R438" s="0" t="inlineStr">
        <is>
          <t xml:space="preserve"/>
        </is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>
        <f>IF(C439="","",IFERROR(LOOKUP(2,1/(($C$2:$C$1001=C439)*($Q$2:$Q$1001="win")),$O$2:$O$1001),""))</f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>
        <f>IF(N439="","",IF(OR(ISNUMBER(SEARCH("狼",N439)),ISNUMBER(SEARCH("石像鬼",N439)),ISNUMBER(SEARCH("恶灵骑士",N439)),ISNUMBER(SEARCH("黑蝙蝠",N439)),ISNUMBER(SEARCH("血月使徒",N439))),"werewolves","villagers"))</f>
      </c>
      <c r="P439" s="0" t="inlineStr">
        <is>
          <t xml:space="preserve"/>
        </is>
      </c>
      <c r="Q439" s="0">
        <f>IF(P439="","",IF(ROUND(P439,2)=5,"win","loss"))</f>
      </c>
      <c r="R439" s="0" t="inlineStr">
        <is>
          <t xml:space="preserve"/>
        </is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>
        <f>IF(C440="","",IFERROR(LOOKUP(2,1/(($C$2:$C$1001=C440)*($Q$2:$Q$1001="win")),$O$2:$O$1001),""))</f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>
        <f>IF(N440="","",IF(OR(ISNUMBER(SEARCH("狼",N440)),ISNUMBER(SEARCH("石像鬼",N440)),ISNUMBER(SEARCH("恶灵骑士",N440)),ISNUMBER(SEARCH("黑蝙蝠",N440)),ISNUMBER(SEARCH("血月使徒",N440))),"werewolves","villagers"))</f>
      </c>
      <c r="P440" s="0" t="inlineStr">
        <is>
          <t xml:space="preserve"/>
        </is>
      </c>
      <c r="Q440" s="0">
        <f>IF(P440="","",IF(ROUND(P440,2)=5,"win","loss"))</f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>
        <f>IF(C441="","",IFERROR(LOOKUP(2,1/(($C$2:$C$1001=C441)*($Q$2:$Q$1001="win")),$O$2:$O$1001),""))</f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>
        <f>IF(N441="","",IF(OR(ISNUMBER(SEARCH("狼",N441)),ISNUMBER(SEARCH("石像鬼",N441)),ISNUMBER(SEARCH("恶灵骑士",N441)),ISNUMBER(SEARCH("黑蝙蝠",N441)),ISNUMBER(SEARCH("血月使徒",N441))),"werewolves","villagers"))</f>
      </c>
      <c r="P441" s="0" t="inlineStr">
        <is>
          <t xml:space="preserve"/>
        </is>
      </c>
      <c r="Q441" s="0">
        <f>IF(P441="","",IF(ROUND(P441,2)=5,"win","loss"))</f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>
        <f>IF(C442="","",IFERROR(LOOKUP(2,1/(($C$2:$C$1001=C442)*($Q$2:$Q$1001="win")),$O$2:$O$1001),""))</f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>
        <f>IF(N442="","",IF(OR(ISNUMBER(SEARCH("狼",N442)),ISNUMBER(SEARCH("石像鬼",N442)),ISNUMBER(SEARCH("恶灵骑士",N442)),ISNUMBER(SEARCH("黑蝙蝠",N442)),ISNUMBER(SEARCH("血月使徒",N442))),"werewolves","villagers"))</f>
      </c>
      <c r="P442" s="0" t="inlineStr">
        <is>
          <t xml:space="preserve"/>
        </is>
      </c>
      <c r="Q442" s="0">
        <f>IF(P442="","",IF(ROUND(P442,2)=5,"win","loss"))</f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>
        <f>IF(C443="","",IFERROR(LOOKUP(2,1/(($C$2:$C$1001=C443)*($Q$2:$Q$1001="win")),$O$2:$O$1001),""))</f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>
        <f>IF(N443="","",IF(OR(ISNUMBER(SEARCH("狼",N443)),ISNUMBER(SEARCH("石像鬼",N443)),ISNUMBER(SEARCH("恶灵骑士",N443)),ISNUMBER(SEARCH("黑蝙蝠",N443)),ISNUMBER(SEARCH("血月使徒",N443))),"werewolves","villagers"))</f>
      </c>
      <c r="P443" s="0" t="inlineStr">
        <is>
          <t xml:space="preserve"/>
        </is>
      </c>
      <c r="Q443" s="0">
        <f>IF(P443="","",IF(ROUND(P443,2)=5,"win","loss"))</f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>
        <f>IF(C444="","",IFERROR(LOOKUP(2,1/(($C$2:$C$1001=C444)*($Q$2:$Q$1001="win")),$O$2:$O$1001),""))</f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>
        <f>IF(N444="","",IF(OR(ISNUMBER(SEARCH("狼",N444)),ISNUMBER(SEARCH("石像鬼",N444)),ISNUMBER(SEARCH("恶灵骑士",N444)),ISNUMBER(SEARCH("黑蝙蝠",N444)),ISNUMBER(SEARCH("血月使徒",N444))),"werewolves","villagers"))</f>
      </c>
      <c r="P444" s="0" t="inlineStr">
        <is>
          <t xml:space="preserve"/>
        </is>
      </c>
      <c r="Q444" s="0">
        <f>IF(P444="","",IF(ROUND(P444,2)=5,"win","loss"))</f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>
        <f>IF(C445="","",IFERROR(LOOKUP(2,1/(($C$2:$C$1001=C445)*($Q$2:$Q$1001="win")),$O$2:$O$1001),""))</f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>
        <f>IF(N445="","",IF(OR(ISNUMBER(SEARCH("狼",N445)),ISNUMBER(SEARCH("石像鬼",N445)),ISNUMBER(SEARCH("恶灵骑士",N445)),ISNUMBER(SEARCH("黑蝙蝠",N445)),ISNUMBER(SEARCH("血月使徒",N445))),"werewolves","villagers"))</f>
      </c>
      <c r="P445" s="0" t="inlineStr">
        <is>
          <t xml:space="preserve"/>
        </is>
      </c>
      <c r="Q445" s="0">
        <f>IF(P445="","",IF(ROUND(P445,2)=5,"win","loss"))</f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>
        <f>IF(C446="","",IFERROR(LOOKUP(2,1/(($C$2:$C$1001=C446)*($Q$2:$Q$1001="win")),$O$2:$O$1001),""))</f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>
        <f>IF(N446="","",IF(OR(ISNUMBER(SEARCH("狼",N446)),ISNUMBER(SEARCH("石像鬼",N446)),ISNUMBER(SEARCH("恶灵骑士",N446)),ISNUMBER(SEARCH("黑蝙蝠",N446)),ISNUMBER(SEARCH("血月使徒",N446))),"werewolves","villagers"))</f>
      </c>
      <c r="P446" s="0" t="inlineStr">
        <is>
          <t xml:space="preserve"/>
        </is>
      </c>
      <c r="Q446" s="0">
        <f>IF(P446="","",IF(ROUND(P446,2)=5,"win","loss"))</f>
      </c>
      <c r="R446" s="0" t="inlineStr">
        <is>
          <t xml:space="preserve"/>
        </is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>
        <f>IF(C447="","",IFERROR(LOOKUP(2,1/(($C$2:$C$1001=C447)*($Q$2:$Q$1001="win")),$O$2:$O$1001),""))</f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>
        <f>IF(N447="","",IF(OR(ISNUMBER(SEARCH("狼",N447)),ISNUMBER(SEARCH("石像鬼",N447)),ISNUMBER(SEARCH("恶灵骑士",N447)),ISNUMBER(SEARCH("黑蝙蝠",N447)),ISNUMBER(SEARCH("血月使徒",N447))),"werewolves","villagers"))</f>
      </c>
      <c r="P447" s="0" t="inlineStr">
        <is>
          <t xml:space="preserve"/>
        </is>
      </c>
      <c r="Q447" s="0">
        <f>IF(P447="","",IF(ROUND(P447,2)=5,"win","loss"))</f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>
        <f>IF(C448="","",IFERROR(LOOKUP(2,1/(($C$2:$C$1001=C448)*($Q$2:$Q$1001="win")),$O$2:$O$1001),""))</f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>
        <f>IF(N448="","",IF(OR(ISNUMBER(SEARCH("狼",N448)),ISNUMBER(SEARCH("石像鬼",N448)),ISNUMBER(SEARCH("恶灵骑士",N448)),ISNUMBER(SEARCH("黑蝙蝠",N448)),ISNUMBER(SEARCH("血月使徒",N448))),"werewolves","villagers"))</f>
      </c>
      <c r="P448" s="0" t="inlineStr">
        <is>
          <t xml:space="preserve"/>
        </is>
      </c>
      <c r="Q448" s="0">
        <f>IF(P448="","",IF(ROUND(P448,2)=5,"win","loss"))</f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>
        <f>IF(C449="","",IFERROR(LOOKUP(2,1/(($C$2:$C$1001=C449)*($Q$2:$Q$1001="win")),$O$2:$O$1001),""))</f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>
        <f>IF(N449="","",IF(OR(ISNUMBER(SEARCH("狼",N449)),ISNUMBER(SEARCH("石像鬼",N449)),ISNUMBER(SEARCH("恶灵骑士",N449)),ISNUMBER(SEARCH("黑蝙蝠",N449)),ISNUMBER(SEARCH("血月使徒",N449))),"werewolves","villagers"))</f>
      </c>
      <c r="P449" s="0" t="inlineStr">
        <is>
          <t xml:space="preserve"/>
        </is>
      </c>
      <c r="Q449" s="0">
        <f>IF(P449="","",IF(ROUND(P449,2)=5,"win","loss"))</f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>
        <f>IF(C450="","",IFERROR(LOOKUP(2,1/(($C$2:$C$1001=C450)*($Q$2:$Q$1001="win")),$O$2:$O$1001),""))</f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>
        <f>IF(N450="","",IF(OR(ISNUMBER(SEARCH("狼",N450)),ISNUMBER(SEARCH("石像鬼",N450)),ISNUMBER(SEARCH("恶灵骑士",N450)),ISNUMBER(SEARCH("黑蝙蝠",N450)),ISNUMBER(SEARCH("血月使徒",N450))),"werewolves","villagers"))</f>
      </c>
      <c r="P450" s="0" t="inlineStr">
        <is>
          <t xml:space="preserve"/>
        </is>
      </c>
      <c r="Q450" s="0">
        <f>IF(P450="","",IF(ROUND(P450,2)=5,"win","loss"))</f>
      </c>
      <c r="R450" s="0" t="inlineStr">
        <is>
          <t xml:space="preserve"/>
        </is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>
        <f>IF(C451="","",IFERROR(LOOKUP(2,1/(($C$2:$C$1001=C451)*($Q$2:$Q$1001="win")),$O$2:$O$1001),""))</f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>
        <f>IF(N451="","",IF(OR(ISNUMBER(SEARCH("狼",N451)),ISNUMBER(SEARCH("石像鬼",N451)),ISNUMBER(SEARCH("恶灵骑士",N451)),ISNUMBER(SEARCH("黑蝙蝠",N451)),ISNUMBER(SEARCH("血月使徒",N451))),"werewolves","villagers"))</f>
      </c>
      <c r="P451" s="0" t="inlineStr">
        <is>
          <t xml:space="preserve"/>
        </is>
      </c>
      <c r="Q451" s="0">
        <f>IF(P451="","",IF(ROUND(P451,2)=5,"win","loss"))</f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>
        <f>IF(C452="","",IFERROR(LOOKUP(2,1/(($C$2:$C$1001=C452)*($Q$2:$Q$1001="win")),$O$2:$O$1001),""))</f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>
        <f>IF(N452="","",IF(OR(ISNUMBER(SEARCH("狼",N452)),ISNUMBER(SEARCH("石像鬼",N452)),ISNUMBER(SEARCH("恶灵骑士",N452)),ISNUMBER(SEARCH("黑蝙蝠",N452)),ISNUMBER(SEARCH("血月使徒",N452))),"werewolves","villagers"))</f>
      </c>
      <c r="P452" s="0" t="inlineStr">
        <is>
          <t xml:space="preserve"/>
        </is>
      </c>
      <c r="Q452" s="0">
        <f>IF(P452="","",IF(ROUND(P452,2)=5,"win","loss"))</f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>
        <f>IF(C453="","",IFERROR(LOOKUP(2,1/(($C$2:$C$1001=C453)*($Q$2:$Q$1001="win")),$O$2:$O$1001),""))</f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>
        <f>IF(N453="","",IF(OR(ISNUMBER(SEARCH("狼",N453)),ISNUMBER(SEARCH("石像鬼",N453)),ISNUMBER(SEARCH("恶灵骑士",N453)),ISNUMBER(SEARCH("黑蝙蝠",N453)),ISNUMBER(SEARCH("血月使徒",N453))),"werewolves","villagers"))</f>
      </c>
      <c r="P453" s="0" t="inlineStr">
        <is>
          <t xml:space="preserve"/>
        </is>
      </c>
      <c r="Q453" s="0">
        <f>IF(P453="","",IF(ROUND(P453,2)=5,"win","loss"))</f>
      </c>
      <c r="R453" s="0" t="inlineStr">
        <is>
          <t xml:space="preserve"/>
        </is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>
        <f>IF(C454="","",IFERROR(LOOKUP(2,1/(($C$2:$C$1001=C454)*($Q$2:$Q$1001="win")),$O$2:$O$1001),""))</f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>
        <f>IF(N454="","",IF(OR(ISNUMBER(SEARCH("狼",N454)),ISNUMBER(SEARCH("石像鬼",N454)),ISNUMBER(SEARCH("恶灵骑士",N454)),ISNUMBER(SEARCH("黑蝙蝠",N454)),ISNUMBER(SEARCH("血月使徒",N454))),"werewolves","villagers"))</f>
      </c>
      <c r="P454" s="0" t="inlineStr">
        <is>
          <t xml:space="preserve"/>
        </is>
      </c>
      <c r="Q454" s="0">
        <f>IF(P454="","",IF(ROUND(P454,2)=5,"win","loss"))</f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>
        <f>IF(C455="","",IFERROR(LOOKUP(2,1/(($C$2:$C$1001=C455)*($Q$2:$Q$1001="win")),$O$2:$O$1001),""))</f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>
        <f>IF(N455="","",IF(OR(ISNUMBER(SEARCH("狼",N455)),ISNUMBER(SEARCH("石像鬼",N455)),ISNUMBER(SEARCH("恶灵骑士",N455)),ISNUMBER(SEARCH("黑蝙蝠",N455)),ISNUMBER(SEARCH("血月使徒",N455))),"werewolves","villagers"))</f>
      </c>
      <c r="P455" s="0" t="inlineStr">
        <is>
          <t xml:space="preserve"/>
        </is>
      </c>
      <c r="Q455" s="0">
        <f>IF(P455="","",IF(ROUND(P455,2)=5,"win","loss"))</f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>
        <f>IF(C456="","",IFERROR(LOOKUP(2,1/(($C$2:$C$1001=C456)*($Q$2:$Q$1001="win")),$O$2:$O$1001),""))</f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>
        <f>IF(N456="","",IF(OR(ISNUMBER(SEARCH("狼",N456)),ISNUMBER(SEARCH("石像鬼",N456)),ISNUMBER(SEARCH("恶灵骑士",N456)),ISNUMBER(SEARCH("黑蝙蝠",N456)),ISNUMBER(SEARCH("血月使徒",N456))),"werewolves","villagers"))</f>
      </c>
      <c r="P456" s="0" t="inlineStr">
        <is>
          <t xml:space="preserve"/>
        </is>
      </c>
      <c r="Q456" s="0">
        <f>IF(P456="","",IF(ROUND(P456,2)=5,"win","loss"))</f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>
        <f>IF(C457="","",IFERROR(LOOKUP(2,1/(($C$2:$C$1001=C457)*($Q$2:$Q$1001="win")),$O$2:$O$1001),""))</f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>
        <f>IF(N457="","",IF(OR(ISNUMBER(SEARCH("狼",N457)),ISNUMBER(SEARCH("石像鬼",N457)),ISNUMBER(SEARCH("恶灵骑士",N457)),ISNUMBER(SEARCH("黑蝙蝠",N457)),ISNUMBER(SEARCH("血月使徒",N457))),"werewolves","villagers"))</f>
      </c>
      <c r="P457" s="0" t="inlineStr">
        <is>
          <t xml:space="preserve"/>
        </is>
      </c>
      <c r="Q457" s="0">
        <f>IF(P457="","",IF(ROUND(P457,2)=5,"win","loss"))</f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>
        <f>IF(C458="","",IFERROR(LOOKUP(2,1/(($C$2:$C$1001=C458)*($Q$2:$Q$1001="win")),$O$2:$O$1001),""))</f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>
        <f>IF(N458="","",IF(OR(ISNUMBER(SEARCH("狼",N458)),ISNUMBER(SEARCH("石像鬼",N458)),ISNUMBER(SEARCH("恶灵骑士",N458)),ISNUMBER(SEARCH("黑蝙蝠",N458)),ISNUMBER(SEARCH("血月使徒",N458))),"werewolves","villagers"))</f>
      </c>
      <c r="P458" s="0" t="inlineStr">
        <is>
          <t xml:space="preserve"/>
        </is>
      </c>
      <c r="Q458" s="0">
        <f>IF(P458="","",IF(ROUND(P458,2)=5,"win","loss"))</f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>
        <f>IF(C459="","",IFERROR(LOOKUP(2,1/(($C$2:$C$1001=C459)*($Q$2:$Q$1001="win")),$O$2:$O$1001),""))</f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>
        <f>IF(N459="","",IF(OR(ISNUMBER(SEARCH("狼",N459)),ISNUMBER(SEARCH("石像鬼",N459)),ISNUMBER(SEARCH("恶灵骑士",N459)),ISNUMBER(SEARCH("黑蝙蝠",N459)),ISNUMBER(SEARCH("血月使徒",N459))),"werewolves","villagers"))</f>
      </c>
      <c r="P459" s="0" t="inlineStr">
        <is>
          <t xml:space="preserve"/>
        </is>
      </c>
      <c r="Q459" s="0">
        <f>IF(P459="","",IF(ROUND(P459,2)=5,"win","loss"))</f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>
        <f>IF(C460="","",IFERROR(LOOKUP(2,1/(($C$2:$C$1001=C460)*($Q$2:$Q$1001="win")),$O$2:$O$1001),""))</f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>
        <f>IF(N460="","",IF(OR(ISNUMBER(SEARCH("狼",N460)),ISNUMBER(SEARCH("石像鬼",N460)),ISNUMBER(SEARCH("恶灵骑士",N460)),ISNUMBER(SEARCH("黑蝙蝠",N460)),ISNUMBER(SEARCH("血月使徒",N460))),"werewolves","villagers"))</f>
      </c>
      <c r="P460" s="0" t="inlineStr">
        <is>
          <t xml:space="preserve"/>
        </is>
      </c>
      <c r="Q460" s="0">
        <f>IF(P460="","",IF(ROUND(P460,2)=5,"win","loss"))</f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>
        <f>IF(C461="","",IFERROR(LOOKUP(2,1/(($C$2:$C$1001=C461)*($Q$2:$Q$1001="win")),$O$2:$O$1001),""))</f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>
        <f>IF(N461="","",IF(OR(ISNUMBER(SEARCH("狼",N461)),ISNUMBER(SEARCH("石像鬼",N461)),ISNUMBER(SEARCH("恶灵骑士",N461)),ISNUMBER(SEARCH("黑蝙蝠",N461)),ISNUMBER(SEARCH("血月使徒",N461))),"werewolves","villagers"))</f>
      </c>
      <c r="P461" s="0" t="inlineStr">
        <is>
          <t xml:space="preserve"/>
        </is>
      </c>
      <c r="Q461" s="0">
        <f>IF(P461="","",IF(ROUND(P461,2)=5,"win","loss"))</f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>
        <f>IF(C462="","",IFERROR(LOOKUP(2,1/(($C$2:$C$1001=C462)*($Q$2:$Q$1001="win")),$O$2:$O$1001),""))</f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>
        <f>IF(N462="","",IF(OR(ISNUMBER(SEARCH("狼",N462)),ISNUMBER(SEARCH("石像鬼",N462)),ISNUMBER(SEARCH("恶灵骑士",N462)),ISNUMBER(SEARCH("黑蝙蝠",N462)),ISNUMBER(SEARCH("血月使徒",N462))),"werewolves","villagers"))</f>
      </c>
      <c r="P462" s="0" t="inlineStr">
        <is>
          <t xml:space="preserve"/>
        </is>
      </c>
      <c r="Q462" s="0">
        <f>IF(P462="","",IF(ROUND(P462,2)=5,"win","loss"))</f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>
        <f>IF(C463="","",IFERROR(LOOKUP(2,1/(($C$2:$C$1001=C463)*($Q$2:$Q$1001="win")),$O$2:$O$1001),""))</f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>
        <f>IF(N463="","",IF(OR(ISNUMBER(SEARCH("狼",N463)),ISNUMBER(SEARCH("石像鬼",N463)),ISNUMBER(SEARCH("恶灵骑士",N463)),ISNUMBER(SEARCH("黑蝙蝠",N463)),ISNUMBER(SEARCH("血月使徒",N463))),"werewolves","villagers"))</f>
      </c>
      <c r="P463" s="0" t="inlineStr">
        <is>
          <t xml:space="preserve"/>
        </is>
      </c>
      <c r="Q463" s="0">
        <f>IF(P463="","",IF(ROUND(P463,2)=5,"win","loss"))</f>
      </c>
      <c r="R463" s="0" t="inlineStr">
        <is>
          <t xml:space="preserve"/>
        </is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>
        <f>IF(C464="","",IFERROR(LOOKUP(2,1/(($C$2:$C$1001=C464)*($Q$2:$Q$1001="win")),$O$2:$O$1001),""))</f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>
        <f>IF(N464="","",IF(OR(ISNUMBER(SEARCH("狼",N464)),ISNUMBER(SEARCH("石像鬼",N464)),ISNUMBER(SEARCH("恶灵骑士",N464)),ISNUMBER(SEARCH("黑蝙蝠",N464)),ISNUMBER(SEARCH("血月使徒",N464))),"werewolves","villagers"))</f>
      </c>
      <c r="P464" s="0" t="inlineStr">
        <is>
          <t xml:space="preserve"/>
        </is>
      </c>
      <c r="Q464" s="0">
        <f>IF(P464="","",IF(ROUND(P464,2)=5,"win","loss"))</f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>
        <f>IF(C465="","",IFERROR(LOOKUP(2,1/(($C$2:$C$1001=C465)*($Q$2:$Q$1001="win")),$O$2:$O$1001),""))</f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>
        <f>IF(N465="","",IF(OR(ISNUMBER(SEARCH("狼",N465)),ISNUMBER(SEARCH("石像鬼",N465)),ISNUMBER(SEARCH("恶灵骑士",N465)),ISNUMBER(SEARCH("黑蝙蝠",N465)),ISNUMBER(SEARCH("血月使徒",N465))),"werewolves","villagers"))</f>
      </c>
      <c r="P465" s="0" t="inlineStr">
        <is>
          <t xml:space="preserve"/>
        </is>
      </c>
      <c r="Q465" s="0">
        <f>IF(P465="","",IF(ROUND(P465,2)=5,"win","loss"))</f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>
        <f>IF(C466="","",IFERROR(LOOKUP(2,1/(($C$2:$C$1001=C466)*($Q$2:$Q$1001="win")),$O$2:$O$1001),""))</f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>
        <f>IF(N466="","",IF(OR(ISNUMBER(SEARCH("狼",N466)),ISNUMBER(SEARCH("石像鬼",N466)),ISNUMBER(SEARCH("恶灵骑士",N466)),ISNUMBER(SEARCH("黑蝙蝠",N466)),ISNUMBER(SEARCH("血月使徒",N466))),"werewolves","villagers"))</f>
      </c>
      <c r="P466" s="0" t="inlineStr">
        <is>
          <t xml:space="preserve"/>
        </is>
      </c>
      <c r="Q466" s="0">
        <f>IF(P466="","",IF(ROUND(P466,2)=5,"win","loss"))</f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>
        <f>IF(C467="","",IFERROR(LOOKUP(2,1/(($C$2:$C$1001=C467)*($Q$2:$Q$1001="win")),$O$2:$O$1001),""))</f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>
        <f>IF(N467="","",IF(OR(ISNUMBER(SEARCH("狼",N467)),ISNUMBER(SEARCH("石像鬼",N467)),ISNUMBER(SEARCH("恶灵骑士",N467)),ISNUMBER(SEARCH("黑蝙蝠",N467)),ISNUMBER(SEARCH("血月使徒",N467))),"werewolves","villagers"))</f>
      </c>
      <c r="P467" s="0" t="inlineStr">
        <is>
          <t xml:space="preserve"/>
        </is>
      </c>
      <c r="Q467" s="0">
        <f>IF(P467="","",IF(ROUND(P467,2)=5,"win","loss"))</f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>
        <f>IF(C468="","",IFERROR(LOOKUP(2,1/(($C$2:$C$1001=C468)*($Q$2:$Q$1001="win")),$O$2:$O$1001),""))</f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>
        <f>IF(N468="","",IF(OR(ISNUMBER(SEARCH("狼",N468)),ISNUMBER(SEARCH("石像鬼",N468)),ISNUMBER(SEARCH("恶灵骑士",N468)),ISNUMBER(SEARCH("黑蝙蝠",N468)),ISNUMBER(SEARCH("血月使徒",N468))),"werewolves","villagers"))</f>
      </c>
      <c r="P468" s="0" t="inlineStr">
        <is>
          <t xml:space="preserve"/>
        </is>
      </c>
      <c r="Q468" s="0">
        <f>IF(P468="","",IF(ROUND(P468,2)=5,"win","loss"))</f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>
        <f>IF(C469="","",IFERROR(LOOKUP(2,1/(($C$2:$C$1001=C469)*($Q$2:$Q$1001="win")),$O$2:$O$1001),""))</f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>
        <f>IF(N469="","",IF(OR(ISNUMBER(SEARCH("狼",N469)),ISNUMBER(SEARCH("石像鬼",N469)),ISNUMBER(SEARCH("恶灵骑士",N469)),ISNUMBER(SEARCH("黑蝙蝠",N469)),ISNUMBER(SEARCH("血月使徒",N469))),"werewolves","villagers"))</f>
      </c>
      <c r="P469" s="0" t="inlineStr">
        <is>
          <t xml:space="preserve"/>
        </is>
      </c>
      <c r="Q469" s="0">
        <f>IF(P469="","",IF(ROUND(P469,2)=5,"win","loss"))</f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>
        <f>IF(C470="","",IFERROR(LOOKUP(2,1/(($C$2:$C$1001=C470)*($Q$2:$Q$1001="win")),$O$2:$O$1001),""))</f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>
        <f>IF(N470="","",IF(OR(ISNUMBER(SEARCH("狼",N470)),ISNUMBER(SEARCH("石像鬼",N470)),ISNUMBER(SEARCH("恶灵骑士",N470)),ISNUMBER(SEARCH("黑蝙蝠",N470)),ISNUMBER(SEARCH("血月使徒",N470))),"werewolves","villagers"))</f>
      </c>
      <c r="P470" s="0" t="inlineStr">
        <is>
          <t xml:space="preserve"/>
        </is>
      </c>
      <c r="Q470" s="0">
        <f>IF(P470="","",IF(ROUND(P470,2)=5,"win","loss"))</f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>
        <f>IF(C471="","",IFERROR(LOOKUP(2,1/(($C$2:$C$1001=C471)*($Q$2:$Q$1001="win")),$O$2:$O$1001),""))</f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>
        <f>IF(N471="","",IF(OR(ISNUMBER(SEARCH("狼",N471)),ISNUMBER(SEARCH("石像鬼",N471)),ISNUMBER(SEARCH("恶灵骑士",N471)),ISNUMBER(SEARCH("黑蝙蝠",N471)),ISNUMBER(SEARCH("血月使徒",N471))),"werewolves","villagers"))</f>
      </c>
      <c r="P471" s="0" t="inlineStr">
        <is>
          <t xml:space="preserve"/>
        </is>
      </c>
      <c r="Q471" s="0">
        <f>IF(P471="","",IF(ROUND(P471,2)=5,"win","loss"))</f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>
        <f>IF(C472="","",IFERROR(LOOKUP(2,1/(($C$2:$C$1001=C472)*($Q$2:$Q$1001="win")),$O$2:$O$1001),""))</f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>
        <f>IF(N472="","",IF(OR(ISNUMBER(SEARCH("狼",N472)),ISNUMBER(SEARCH("石像鬼",N472)),ISNUMBER(SEARCH("恶灵骑士",N472)),ISNUMBER(SEARCH("黑蝙蝠",N472)),ISNUMBER(SEARCH("血月使徒",N472))),"werewolves","villagers"))</f>
      </c>
      <c r="P472" s="0" t="inlineStr">
        <is>
          <t xml:space="preserve"/>
        </is>
      </c>
      <c r="Q472" s="0">
        <f>IF(P472="","",IF(ROUND(P472,2)=5,"win","loss"))</f>
      </c>
      <c r="R472" s="0" t="inlineStr">
        <is>
          <t xml:space="preserve"/>
        </is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>
        <f>IF(C473="","",IFERROR(LOOKUP(2,1/(($C$2:$C$1001=C473)*($Q$2:$Q$1001="win")),$O$2:$O$1001),""))</f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>
        <f>IF(N473="","",IF(OR(ISNUMBER(SEARCH("狼",N473)),ISNUMBER(SEARCH("石像鬼",N473)),ISNUMBER(SEARCH("恶灵骑士",N473)),ISNUMBER(SEARCH("黑蝙蝠",N473)),ISNUMBER(SEARCH("血月使徒",N473))),"werewolves","villagers"))</f>
      </c>
      <c r="P473" s="0" t="inlineStr">
        <is>
          <t xml:space="preserve"/>
        </is>
      </c>
      <c r="Q473" s="0">
        <f>IF(P473="","",IF(ROUND(P473,2)=5,"win","loss"))</f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>
        <f>IF(C474="","",IFERROR(LOOKUP(2,1/(($C$2:$C$1001=C474)*($Q$2:$Q$1001="win")),$O$2:$O$1001),""))</f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>
        <f>IF(N474="","",IF(OR(ISNUMBER(SEARCH("狼",N474)),ISNUMBER(SEARCH("石像鬼",N474)),ISNUMBER(SEARCH("恶灵骑士",N474)),ISNUMBER(SEARCH("黑蝙蝠",N474)),ISNUMBER(SEARCH("血月使徒",N474))),"werewolves","villagers"))</f>
      </c>
      <c r="P474" s="0" t="inlineStr">
        <is>
          <t xml:space="preserve"/>
        </is>
      </c>
      <c r="Q474" s="0">
        <f>IF(P474="","",IF(ROUND(P474,2)=5,"win","loss"))</f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>
        <f>IF(C475="","",IFERROR(LOOKUP(2,1/(($C$2:$C$1001=C475)*($Q$2:$Q$1001="win")),$O$2:$O$1001),""))</f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>
        <f>IF(N475="","",IF(OR(ISNUMBER(SEARCH("狼",N475)),ISNUMBER(SEARCH("石像鬼",N475)),ISNUMBER(SEARCH("恶灵骑士",N475)),ISNUMBER(SEARCH("黑蝙蝠",N475)),ISNUMBER(SEARCH("血月使徒",N475))),"werewolves","villagers"))</f>
      </c>
      <c r="P475" s="0" t="inlineStr">
        <is>
          <t xml:space="preserve"/>
        </is>
      </c>
      <c r="Q475" s="0">
        <f>IF(P475="","",IF(ROUND(P475,2)=5,"win","loss"))</f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>
        <f>IF(C476="","",IFERROR(LOOKUP(2,1/(($C$2:$C$1001=C476)*($Q$2:$Q$1001="win")),$O$2:$O$1001),""))</f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>
        <f>IF(N476="","",IF(OR(ISNUMBER(SEARCH("狼",N476)),ISNUMBER(SEARCH("石像鬼",N476)),ISNUMBER(SEARCH("恶灵骑士",N476)),ISNUMBER(SEARCH("黑蝙蝠",N476)),ISNUMBER(SEARCH("血月使徒",N476))),"werewolves","villagers"))</f>
      </c>
      <c r="P476" s="0" t="inlineStr">
        <is>
          <t xml:space="preserve"/>
        </is>
      </c>
      <c r="Q476" s="0">
        <f>IF(P476="","",IF(ROUND(P476,2)=5,"win","loss"))</f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>
        <f>IF(C477="","",IFERROR(LOOKUP(2,1/(($C$2:$C$1001=C477)*($Q$2:$Q$1001="win")),$O$2:$O$1001),""))</f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>
        <f>IF(N477="","",IF(OR(ISNUMBER(SEARCH("狼",N477)),ISNUMBER(SEARCH("石像鬼",N477)),ISNUMBER(SEARCH("恶灵骑士",N477)),ISNUMBER(SEARCH("黑蝙蝠",N477)),ISNUMBER(SEARCH("血月使徒",N477))),"werewolves","villagers"))</f>
      </c>
      <c r="P477" s="0" t="inlineStr">
        <is>
          <t xml:space="preserve"/>
        </is>
      </c>
      <c r="Q477" s="0">
        <f>IF(P477="","",IF(ROUND(P477,2)=5,"win","loss"))</f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>
        <f>IF(C478="","",IFERROR(LOOKUP(2,1/(($C$2:$C$1001=C478)*($Q$2:$Q$1001="win")),$O$2:$O$1001),""))</f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>
        <f>IF(N478="","",IF(OR(ISNUMBER(SEARCH("狼",N478)),ISNUMBER(SEARCH("石像鬼",N478)),ISNUMBER(SEARCH("恶灵骑士",N478)),ISNUMBER(SEARCH("黑蝙蝠",N478)),ISNUMBER(SEARCH("血月使徒",N478))),"werewolves","villagers"))</f>
      </c>
      <c r="P478" s="0" t="inlineStr">
        <is>
          <t xml:space="preserve"/>
        </is>
      </c>
      <c r="Q478" s="0">
        <f>IF(P478="","",IF(ROUND(P478,2)=5,"win","loss"))</f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>
        <f>IF(C479="","",IFERROR(LOOKUP(2,1/(($C$2:$C$1001=C479)*($Q$2:$Q$1001="win")),$O$2:$O$1001),""))</f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>
        <f>IF(N479="","",IF(OR(ISNUMBER(SEARCH("狼",N479)),ISNUMBER(SEARCH("石像鬼",N479)),ISNUMBER(SEARCH("恶灵骑士",N479)),ISNUMBER(SEARCH("黑蝙蝠",N479)),ISNUMBER(SEARCH("血月使徒",N479))),"werewolves","villagers"))</f>
      </c>
      <c r="P479" s="0" t="inlineStr">
        <is>
          <t xml:space="preserve"/>
        </is>
      </c>
      <c r="Q479" s="0">
        <f>IF(P479="","",IF(ROUND(P479,2)=5,"win","loss"))</f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>
        <f>IF(C480="","",IFERROR(LOOKUP(2,1/(($C$2:$C$1001=C480)*($Q$2:$Q$1001="win")),$O$2:$O$1001),""))</f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>
        <f>IF(N480="","",IF(OR(ISNUMBER(SEARCH("狼",N480)),ISNUMBER(SEARCH("石像鬼",N480)),ISNUMBER(SEARCH("恶灵骑士",N480)),ISNUMBER(SEARCH("黑蝙蝠",N480)),ISNUMBER(SEARCH("血月使徒",N480))),"werewolves","villagers"))</f>
      </c>
      <c r="P480" s="0" t="inlineStr">
        <is>
          <t xml:space="preserve"/>
        </is>
      </c>
      <c r="Q480" s="0">
        <f>IF(P480="","",IF(ROUND(P480,2)=5,"win","loss"))</f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>
        <f>IF(C481="","",IFERROR(LOOKUP(2,1/(($C$2:$C$1001=C481)*($Q$2:$Q$1001="win")),$O$2:$O$1001),""))</f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>
        <f>IF(N481="","",IF(OR(ISNUMBER(SEARCH("狼",N481)),ISNUMBER(SEARCH("石像鬼",N481)),ISNUMBER(SEARCH("恶灵骑士",N481)),ISNUMBER(SEARCH("黑蝙蝠",N481)),ISNUMBER(SEARCH("血月使徒",N481))),"werewolves","villagers"))</f>
      </c>
      <c r="P481" s="0" t="inlineStr">
        <is>
          <t xml:space="preserve"/>
        </is>
      </c>
      <c r="Q481" s="0">
        <f>IF(P481="","",IF(ROUND(P481,2)=5,"win","loss"))</f>
      </c>
      <c r="R481" s="0" t="inlineStr">
        <is>
          <t xml:space="preserve"/>
        </is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>
        <f>IF(C482="","",IFERROR(LOOKUP(2,1/(($C$2:$C$1001=C482)*($Q$2:$Q$1001="win")),$O$2:$O$1001),""))</f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>
        <f>IF(N482="","",IF(OR(ISNUMBER(SEARCH("狼",N482)),ISNUMBER(SEARCH("石像鬼",N482)),ISNUMBER(SEARCH("恶灵骑士",N482)),ISNUMBER(SEARCH("黑蝙蝠",N482)),ISNUMBER(SEARCH("血月使徒",N482))),"werewolves","villagers"))</f>
      </c>
      <c r="P482" s="0" t="inlineStr">
        <is>
          <t xml:space="preserve"/>
        </is>
      </c>
      <c r="Q482" s="0">
        <f>IF(P482="","",IF(ROUND(P482,2)=5,"win","loss"))</f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>
        <f>IF(C483="","",IFERROR(LOOKUP(2,1/(($C$2:$C$1001=C483)*($Q$2:$Q$1001="win")),$O$2:$O$1001),""))</f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>
        <f>IF(N483="","",IF(OR(ISNUMBER(SEARCH("狼",N483)),ISNUMBER(SEARCH("石像鬼",N483)),ISNUMBER(SEARCH("恶灵骑士",N483)),ISNUMBER(SEARCH("黑蝙蝠",N483)),ISNUMBER(SEARCH("血月使徒",N483))),"werewolves","villagers"))</f>
      </c>
      <c r="P483" s="0" t="inlineStr">
        <is>
          <t xml:space="preserve"/>
        </is>
      </c>
      <c r="Q483" s="0">
        <f>IF(P483="","",IF(ROUND(P483,2)=5,"win","loss"))</f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>
        <f>IF(C484="","",IFERROR(LOOKUP(2,1/(($C$2:$C$1001=C484)*($Q$2:$Q$1001="win")),$O$2:$O$1001),""))</f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>
        <f>IF(N484="","",IF(OR(ISNUMBER(SEARCH("狼",N484)),ISNUMBER(SEARCH("石像鬼",N484)),ISNUMBER(SEARCH("恶灵骑士",N484)),ISNUMBER(SEARCH("黑蝙蝠",N484)),ISNUMBER(SEARCH("血月使徒",N484))),"werewolves","villagers"))</f>
      </c>
      <c r="P484" s="0" t="inlineStr">
        <is>
          <t xml:space="preserve"/>
        </is>
      </c>
      <c r="Q484" s="0">
        <f>IF(P484="","",IF(ROUND(P484,2)=5,"win","loss"))</f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>
        <f>IF(C485="","",IFERROR(LOOKUP(2,1/(($C$2:$C$1001=C485)*($Q$2:$Q$1001="win")),$O$2:$O$1001),""))</f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>
        <f>IF(N485="","",IF(OR(ISNUMBER(SEARCH("狼",N485)),ISNUMBER(SEARCH("石像鬼",N485)),ISNUMBER(SEARCH("恶灵骑士",N485)),ISNUMBER(SEARCH("黑蝙蝠",N485)),ISNUMBER(SEARCH("血月使徒",N485))),"werewolves","villagers"))</f>
      </c>
      <c r="P485" s="0" t="inlineStr">
        <is>
          <t xml:space="preserve"/>
        </is>
      </c>
      <c r="Q485" s="0">
        <f>IF(P485="","",IF(ROUND(P485,2)=5,"win","loss"))</f>
      </c>
      <c r="R485" s="0" t="inlineStr">
        <is>
          <t xml:space="preserve"/>
        </is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>
        <f>IF(C486="","",IFERROR(LOOKUP(2,1/(($C$2:$C$1001=C486)*($Q$2:$Q$1001="win")),$O$2:$O$1001),""))</f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>
        <f>IF(N486="","",IF(OR(ISNUMBER(SEARCH("狼",N486)),ISNUMBER(SEARCH("石像鬼",N486)),ISNUMBER(SEARCH("恶灵骑士",N486)),ISNUMBER(SEARCH("黑蝙蝠",N486)),ISNUMBER(SEARCH("血月使徒",N486))),"werewolves","villagers"))</f>
      </c>
      <c r="P486" s="0" t="inlineStr">
        <is>
          <t xml:space="preserve"/>
        </is>
      </c>
      <c r="Q486" s="0">
        <f>IF(P486="","",IF(ROUND(P486,2)=5,"win","loss"))</f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>
        <f>IF(C487="","",IFERROR(LOOKUP(2,1/(($C$2:$C$1001=C487)*($Q$2:$Q$1001="win")),$O$2:$O$1001),""))</f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>
        <f>IF(N487="","",IF(OR(ISNUMBER(SEARCH("狼",N487)),ISNUMBER(SEARCH("石像鬼",N487)),ISNUMBER(SEARCH("恶灵骑士",N487)),ISNUMBER(SEARCH("黑蝙蝠",N487)),ISNUMBER(SEARCH("血月使徒",N487))),"werewolves","villagers"))</f>
      </c>
      <c r="P487" s="0" t="inlineStr">
        <is>
          <t xml:space="preserve"/>
        </is>
      </c>
      <c r="Q487" s="0">
        <f>IF(P487="","",IF(ROUND(P487,2)=5,"win","loss"))</f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>
        <f>IF(C488="","",IFERROR(LOOKUP(2,1/(($C$2:$C$1001=C488)*($Q$2:$Q$1001="win")),$O$2:$O$1001),""))</f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>
        <f>IF(N488="","",IF(OR(ISNUMBER(SEARCH("狼",N488)),ISNUMBER(SEARCH("石像鬼",N488)),ISNUMBER(SEARCH("恶灵骑士",N488)),ISNUMBER(SEARCH("黑蝙蝠",N488)),ISNUMBER(SEARCH("血月使徒",N488))),"werewolves","villagers"))</f>
      </c>
      <c r="P488" s="0" t="inlineStr">
        <is>
          <t xml:space="preserve"/>
        </is>
      </c>
      <c r="Q488" s="0">
        <f>IF(P488="","",IF(ROUND(P488,2)=5,"win","loss"))</f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>
        <f>IF(C489="","",IFERROR(LOOKUP(2,1/(($C$2:$C$1001=C489)*($Q$2:$Q$1001="win")),$O$2:$O$1001),""))</f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>
        <f>IF(N489="","",IF(OR(ISNUMBER(SEARCH("狼",N489)),ISNUMBER(SEARCH("石像鬼",N489)),ISNUMBER(SEARCH("恶灵骑士",N489)),ISNUMBER(SEARCH("黑蝙蝠",N489)),ISNUMBER(SEARCH("血月使徒",N489))),"werewolves","villagers"))</f>
      </c>
      <c r="P489" s="0" t="inlineStr">
        <is>
          <t xml:space="preserve"/>
        </is>
      </c>
      <c r="Q489" s="0">
        <f>IF(P489="","",IF(ROUND(P489,2)=5,"win","loss"))</f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>
        <f>IF(C490="","",IFERROR(LOOKUP(2,1/(($C$2:$C$1001=C490)*($Q$2:$Q$1001="win")),$O$2:$O$1001),""))</f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>
        <f>IF(N490="","",IF(OR(ISNUMBER(SEARCH("狼",N490)),ISNUMBER(SEARCH("石像鬼",N490)),ISNUMBER(SEARCH("恶灵骑士",N490)),ISNUMBER(SEARCH("黑蝙蝠",N490)),ISNUMBER(SEARCH("血月使徒",N490))),"werewolves","villagers"))</f>
      </c>
      <c r="P490" s="0" t="inlineStr">
        <is>
          <t xml:space="preserve"/>
        </is>
      </c>
      <c r="Q490" s="0">
        <f>IF(P490="","",IF(ROUND(P490,2)=5,"win","loss"))</f>
      </c>
      <c r="R490" s="0" t="inlineStr">
        <is>
          <t xml:space="preserve"/>
        </is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>
        <f>IF(C491="","",IFERROR(LOOKUP(2,1/(($C$2:$C$1001=C491)*($Q$2:$Q$1001="win")),$O$2:$O$1001),""))</f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>
        <f>IF(N491="","",IF(OR(ISNUMBER(SEARCH("狼",N491)),ISNUMBER(SEARCH("石像鬼",N491)),ISNUMBER(SEARCH("恶灵骑士",N491)),ISNUMBER(SEARCH("黑蝙蝠",N491)),ISNUMBER(SEARCH("血月使徒",N491))),"werewolves","villagers"))</f>
      </c>
      <c r="P491" s="0" t="inlineStr">
        <is>
          <t xml:space="preserve"/>
        </is>
      </c>
      <c r="Q491" s="0">
        <f>IF(P491="","",IF(ROUND(P491,2)=5,"win","loss"))</f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>
        <f>IF(C492="","",IFERROR(LOOKUP(2,1/(($C$2:$C$1001=C492)*($Q$2:$Q$1001="win")),$O$2:$O$1001),""))</f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>
        <f>IF(N492="","",IF(OR(ISNUMBER(SEARCH("狼",N492)),ISNUMBER(SEARCH("石像鬼",N492)),ISNUMBER(SEARCH("恶灵骑士",N492)),ISNUMBER(SEARCH("黑蝙蝠",N492)),ISNUMBER(SEARCH("血月使徒",N492))),"werewolves","villagers"))</f>
      </c>
      <c r="P492" s="0" t="inlineStr">
        <is>
          <t xml:space="preserve"/>
        </is>
      </c>
      <c r="Q492" s="0">
        <f>IF(P492="","",IF(ROUND(P492,2)=5,"win","loss"))</f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>
        <f>IF(C493="","",IFERROR(LOOKUP(2,1/(($C$2:$C$1001=C493)*($Q$2:$Q$1001="win")),$O$2:$O$1001),""))</f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>
        <f>IF(N493="","",IF(OR(ISNUMBER(SEARCH("狼",N493)),ISNUMBER(SEARCH("石像鬼",N493)),ISNUMBER(SEARCH("恶灵骑士",N493)),ISNUMBER(SEARCH("黑蝙蝠",N493)),ISNUMBER(SEARCH("血月使徒",N493))),"werewolves","villagers"))</f>
      </c>
      <c r="P493" s="0" t="inlineStr">
        <is>
          <t xml:space="preserve"/>
        </is>
      </c>
      <c r="Q493" s="0">
        <f>IF(P493="","",IF(ROUND(P493,2)=5,"win","loss"))</f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>
        <f>IF(C494="","",IFERROR(LOOKUP(2,1/(($C$2:$C$1001=C494)*($Q$2:$Q$1001="win")),$O$2:$O$1001),""))</f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>
        <f>IF(N494="","",IF(OR(ISNUMBER(SEARCH("狼",N494)),ISNUMBER(SEARCH("石像鬼",N494)),ISNUMBER(SEARCH("恶灵骑士",N494)),ISNUMBER(SEARCH("黑蝙蝠",N494)),ISNUMBER(SEARCH("血月使徒",N494))),"werewolves","villagers"))</f>
      </c>
      <c r="P494" s="0" t="inlineStr">
        <is>
          <t xml:space="preserve"/>
        </is>
      </c>
      <c r="Q494" s="0">
        <f>IF(P494="","",IF(ROUND(P494,2)=5,"win","loss"))</f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>
        <f>IF(C495="","",IFERROR(LOOKUP(2,1/(($C$2:$C$1001=C495)*($Q$2:$Q$1001="win")),$O$2:$O$1001),""))</f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>
        <f>IF(N495="","",IF(OR(ISNUMBER(SEARCH("狼",N495)),ISNUMBER(SEARCH("石像鬼",N495)),ISNUMBER(SEARCH("恶灵骑士",N495)),ISNUMBER(SEARCH("黑蝙蝠",N495)),ISNUMBER(SEARCH("血月使徒",N495))),"werewolves","villagers"))</f>
      </c>
      <c r="P495" s="0" t="inlineStr">
        <is>
          <t xml:space="preserve"/>
        </is>
      </c>
      <c r="Q495" s="0">
        <f>IF(P495="","",IF(ROUND(P495,2)=5,"win","loss"))</f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>
        <f>IF(C496="","",IFERROR(LOOKUP(2,1/(($C$2:$C$1001=C496)*($Q$2:$Q$1001="win")),$O$2:$O$1001),""))</f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>
        <f>IF(N496="","",IF(OR(ISNUMBER(SEARCH("狼",N496)),ISNUMBER(SEARCH("石像鬼",N496)),ISNUMBER(SEARCH("恶灵骑士",N496)),ISNUMBER(SEARCH("黑蝙蝠",N496)),ISNUMBER(SEARCH("血月使徒",N496))),"werewolves","villagers"))</f>
      </c>
      <c r="P496" s="0" t="inlineStr">
        <is>
          <t xml:space="preserve"/>
        </is>
      </c>
      <c r="Q496" s="0">
        <f>IF(P496="","",IF(ROUND(P496,2)=5,"win","loss"))</f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>
        <f>IF(C497="","",IFERROR(LOOKUP(2,1/(($C$2:$C$1001=C497)*($Q$2:$Q$1001="win")),$O$2:$O$1001),""))</f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>
        <f>IF(N497="","",IF(OR(ISNUMBER(SEARCH("狼",N497)),ISNUMBER(SEARCH("石像鬼",N497)),ISNUMBER(SEARCH("恶灵骑士",N497)),ISNUMBER(SEARCH("黑蝙蝠",N497)),ISNUMBER(SEARCH("血月使徒",N497))),"werewolves","villagers"))</f>
      </c>
      <c r="P497" s="0" t="inlineStr">
        <is>
          <t xml:space="preserve"/>
        </is>
      </c>
      <c r="Q497" s="0">
        <f>IF(P497="","",IF(ROUND(P497,2)=5,"win","loss"))</f>
      </c>
      <c r="R497" s="0" t="inlineStr">
        <is>
          <t xml:space="preserve"/>
        </is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>
        <f>IF(C498="","",IFERROR(LOOKUP(2,1/(($C$2:$C$1001=C498)*($Q$2:$Q$1001="win")),$O$2:$O$1001),""))</f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>
        <f>IF(N498="","",IF(OR(ISNUMBER(SEARCH("狼",N498)),ISNUMBER(SEARCH("石像鬼",N498)),ISNUMBER(SEARCH("恶灵骑士",N498)),ISNUMBER(SEARCH("黑蝙蝠",N498)),ISNUMBER(SEARCH("血月使徒",N498))),"werewolves","villagers"))</f>
      </c>
      <c r="P498" s="0" t="inlineStr">
        <is>
          <t xml:space="preserve"/>
        </is>
      </c>
      <c r="Q498" s="0">
        <f>IF(P498="","",IF(ROUND(P498,2)=5,"win","loss"))</f>
      </c>
      <c r="R498" s="0" t="inlineStr">
        <is>
          <t xml:space="preserve"/>
        </is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>
        <f>IF(C499="","",IFERROR(LOOKUP(2,1/(($C$2:$C$1001=C499)*($Q$2:$Q$1001="win")),$O$2:$O$1001),""))</f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>
        <f>IF(N499="","",IF(OR(ISNUMBER(SEARCH("狼",N499)),ISNUMBER(SEARCH("石像鬼",N499)),ISNUMBER(SEARCH("恶灵骑士",N499)),ISNUMBER(SEARCH("黑蝙蝠",N499)),ISNUMBER(SEARCH("血月使徒",N499))),"werewolves","villagers"))</f>
      </c>
      <c r="P499" s="0" t="inlineStr">
        <is>
          <t xml:space="preserve"/>
        </is>
      </c>
      <c r="Q499" s="0">
        <f>IF(P499="","",IF(ROUND(P499,2)=5,"win","loss"))</f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>
        <f>IF(C500="","",IFERROR(LOOKUP(2,1/(($C$2:$C$1001=C500)*($Q$2:$Q$1001="win")),$O$2:$O$1001),""))</f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>
        <f>IF(N500="","",IF(OR(ISNUMBER(SEARCH("狼",N500)),ISNUMBER(SEARCH("石像鬼",N500)),ISNUMBER(SEARCH("恶灵骑士",N500)),ISNUMBER(SEARCH("黑蝙蝠",N500)),ISNUMBER(SEARCH("血月使徒",N500))),"werewolves","villagers"))</f>
      </c>
      <c r="P500" s="0" t="inlineStr">
        <is>
          <t xml:space="preserve"/>
        </is>
      </c>
      <c r="Q500" s="0">
        <f>IF(P500="","",IF(ROUND(P500,2)=5,"win","loss"))</f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>
        <f>IF(C501="","",IFERROR(LOOKUP(2,1/(($C$2:$C$1001=C501)*($Q$2:$Q$1001="win")),$O$2:$O$1001),""))</f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>
        <f>IF(N501="","",IF(OR(ISNUMBER(SEARCH("狼",N501)),ISNUMBER(SEARCH("石像鬼",N501)),ISNUMBER(SEARCH("恶灵骑士",N501)),ISNUMBER(SEARCH("黑蝙蝠",N501)),ISNUMBER(SEARCH("血月使徒",N501))),"werewolves","villagers"))</f>
      </c>
      <c r="P501" s="0" t="inlineStr">
        <is>
          <t xml:space="preserve"/>
        </is>
      </c>
      <c r="Q501" s="0">
        <f>IF(P501="","",IF(ROUND(P501,2)=5,"win","loss"))</f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>
        <f>IF(C502="","",IFERROR(LOOKUP(2,1/(($C$2:$C$1001=C502)*($Q$2:$Q$1001="win")),$O$2:$O$1001),""))</f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>
        <f>IF(N502="","",IF(OR(ISNUMBER(SEARCH("狼",N502)),ISNUMBER(SEARCH("石像鬼",N502)),ISNUMBER(SEARCH("恶灵骑士",N502)),ISNUMBER(SEARCH("黑蝙蝠",N502)),ISNUMBER(SEARCH("血月使徒",N502))),"werewolves","villagers"))</f>
      </c>
      <c r="P502" s="0" t="inlineStr">
        <is>
          <t xml:space="preserve"/>
        </is>
      </c>
      <c r="Q502" s="0">
        <f>IF(P502="","",IF(ROUND(P502,2)=5,"win","loss"))</f>
      </c>
      <c r="R502" s="0" t="inlineStr">
        <is>
          <t xml:space="preserve"/>
        </is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>
        <f>IF(C503="","",IFERROR(LOOKUP(2,1/(($C$2:$C$1001=C503)*($Q$2:$Q$1001="win")),$O$2:$O$1001),""))</f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>
        <f>IF(N503="","",IF(OR(ISNUMBER(SEARCH("狼",N503)),ISNUMBER(SEARCH("石像鬼",N503)),ISNUMBER(SEARCH("恶灵骑士",N503)),ISNUMBER(SEARCH("黑蝙蝠",N503)),ISNUMBER(SEARCH("血月使徒",N503))),"werewolves","villagers"))</f>
      </c>
      <c r="P503" s="0" t="inlineStr">
        <is>
          <t xml:space="preserve"/>
        </is>
      </c>
      <c r="Q503" s="0">
        <f>IF(P503="","",IF(ROUND(P503,2)=5,"win","loss"))</f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>
        <f>IF(C504="","",IFERROR(LOOKUP(2,1/(($C$2:$C$1001=C504)*($Q$2:$Q$1001="win")),$O$2:$O$1001),""))</f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>
        <f>IF(N504="","",IF(OR(ISNUMBER(SEARCH("狼",N504)),ISNUMBER(SEARCH("石像鬼",N504)),ISNUMBER(SEARCH("恶灵骑士",N504)),ISNUMBER(SEARCH("黑蝙蝠",N504)),ISNUMBER(SEARCH("血月使徒",N504))),"werewolves","villagers"))</f>
      </c>
      <c r="P504" s="0" t="inlineStr">
        <is>
          <t xml:space="preserve"/>
        </is>
      </c>
      <c r="Q504" s="0">
        <f>IF(P504="","",IF(ROUND(P504,2)=5,"win","loss"))</f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>
        <f>IF(C505="","",IFERROR(LOOKUP(2,1/(($C$2:$C$1001=C505)*($Q$2:$Q$1001="win")),$O$2:$O$1001),""))</f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>
        <f>IF(N505="","",IF(OR(ISNUMBER(SEARCH("狼",N505)),ISNUMBER(SEARCH("石像鬼",N505)),ISNUMBER(SEARCH("恶灵骑士",N505)),ISNUMBER(SEARCH("黑蝙蝠",N505)),ISNUMBER(SEARCH("血月使徒",N505))),"werewolves","villagers"))</f>
      </c>
      <c r="P505" s="0" t="inlineStr">
        <is>
          <t xml:space="preserve"/>
        </is>
      </c>
      <c r="Q505" s="0">
        <f>IF(P505="","",IF(ROUND(P505,2)=5,"win","loss"))</f>
      </c>
      <c r="R505" s="0" t="inlineStr">
        <is>
          <t xml:space="preserve"/>
        </is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>
        <f>IF(C506="","",IFERROR(LOOKUP(2,1/(($C$2:$C$1001=C506)*($Q$2:$Q$1001="win")),$O$2:$O$1001),""))</f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>
        <f>IF(N506="","",IF(OR(ISNUMBER(SEARCH("狼",N506)),ISNUMBER(SEARCH("石像鬼",N506)),ISNUMBER(SEARCH("恶灵骑士",N506)),ISNUMBER(SEARCH("黑蝙蝠",N506)),ISNUMBER(SEARCH("血月使徒",N506))),"werewolves","villagers"))</f>
      </c>
      <c r="P506" s="0" t="inlineStr">
        <is>
          <t xml:space="preserve"/>
        </is>
      </c>
      <c r="Q506" s="0">
        <f>IF(P506="","",IF(ROUND(P506,2)=5,"win","loss"))</f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>
        <f>IF(C507="","",IFERROR(LOOKUP(2,1/(($C$2:$C$1001=C507)*($Q$2:$Q$1001="win")),$O$2:$O$1001),""))</f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>
        <f>IF(N507="","",IF(OR(ISNUMBER(SEARCH("狼",N507)),ISNUMBER(SEARCH("石像鬼",N507)),ISNUMBER(SEARCH("恶灵骑士",N507)),ISNUMBER(SEARCH("黑蝙蝠",N507)),ISNUMBER(SEARCH("血月使徒",N507))),"werewolves","villagers"))</f>
      </c>
      <c r="P507" s="0" t="inlineStr">
        <is>
          <t xml:space="preserve"/>
        </is>
      </c>
      <c r="Q507" s="0">
        <f>IF(P507="","",IF(ROUND(P507,2)=5,"win","loss"))</f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>
        <f>IF(C508="","",IFERROR(LOOKUP(2,1/(($C$2:$C$1001=C508)*($Q$2:$Q$1001="win")),$O$2:$O$1001),""))</f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>
        <f>IF(N508="","",IF(OR(ISNUMBER(SEARCH("狼",N508)),ISNUMBER(SEARCH("石像鬼",N508)),ISNUMBER(SEARCH("恶灵骑士",N508)),ISNUMBER(SEARCH("黑蝙蝠",N508)),ISNUMBER(SEARCH("血月使徒",N508))),"werewolves","villagers"))</f>
      </c>
      <c r="P508" s="0" t="inlineStr">
        <is>
          <t xml:space="preserve"/>
        </is>
      </c>
      <c r="Q508" s="0">
        <f>IF(P508="","",IF(ROUND(P508,2)=5,"win","loss"))</f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>
        <f>IF(C509="","",IFERROR(LOOKUP(2,1/(($C$2:$C$1001=C509)*($Q$2:$Q$1001="win")),$O$2:$O$1001),""))</f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>
        <f>IF(N509="","",IF(OR(ISNUMBER(SEARCH("狼",N509)),ISNUMBER(SEARCH("石像鬼",N509)),ISNUMBER(SEARCH("恶灵骑士",N509)),ISNUMBER(SEARCH("黑蝙蝠",N509)),ISNUMBER(SEARCH("血月使徒",N509))),"werewolves","villagers"))</f>
      </c>
      <c r="P509" s="0" t="inlineStr">
        <is>
          <t xml:space="preserve"/>
        </is>
      </c>
      <c r="Q509" s="0">
        <f>IF(P509="","",IF(ROUND(P509,2)=5,"win","loss"))</f>
      </c>
      <c r="R509" s="0" t="inlineStr">
        <is>
          <t xml:space="preserve"/>
        </is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>
        <f>IF(C510="","",IFERROR(LOOKUP(2,1/(($C$2:$C$1001=C510)*($Q$2:$Q$1001="win")),$O$2:$O$1001),""))</f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>
        <f>IF(N510="","",IF(OR(ISNUMBER(SEARCH("狼",N510)),ISNUMBER(SEARCH("石像鬼",N510)),ISNUMBER(SEARCH("恶灵骑士",N510)),ISNUMBER(SEARCH("黑蝙蝠",N510)),ISNUMBER(SEARCH("血月使徒",N510))),"werewolves","villagers"))</f>
      </c>
      <c r="P510" s="0" t="inlineStr">
        <is>
          <t xml:space="preserve"/>
        </is>
      </c>
      <c r="Q510" s="0">
        <f>IF(P510="","",IF(ROUND(P510,2)=5,"win","loss"))</f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>
        <f>IF(C511="","",IFERROR(LOOKUP(2,1/(($C$2:$C$1001=C511)*($Q$2:$Q$1001="win")),$O$2:$O$1001),""))</f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>
        <f>IF(N511="","",IF(OR(ISNUMBER(SEARCH("狼",N511)),ISNUMBER(SEARCH("石像鬼",N511)),ISNUMBER(SEARCH("恶灵骑士",N511)),ISNUMBER(SEARCH("黑蝙蝠",N511)),ISNUMBER(SEARCH("血月使徒",N511))),"werewolves","villagers"))</f>
      </c>
      <c r="P511" s="0" t="inlineStr">
        <is>
          <t xml:space="preserve"/>
        </is>
      </c>
      <c r="Q511" s="0">
        <f>IF(P511="","",IF(ROUND(P511,2)=5,"win","loss"))</f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>
        <f>IF(C512="","",IFERROR(LOOKUP(2,1/(($C$2:$C$1001=C512)*($Q$2:$Q$1001="win")),$O$2:$O$1001),""))</f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>
        <f>IF(N512="","",IF(OR(ISNUMBER(SEARCH("狼",N512)),ISNUMBER(SEARCH("石像鬼",N512)),ISNUMBER(SEARCH("恶灵骑士",N512)),ISNUMBER(SEARCH("黑蝙蝠",N512)),ISNUMBER(SEARCH("血月使徒",N512))),"werewolves","villagers"))</f>
      </c>
      <c r="P512" s="0" t="inlineStr">
        <is>
          <t xml:space="preserve"/>
        </is>
      </c>
      <c r="Q512" s="0">
        <f>IF(P512="","",IF(ROUND(P512,2)=5,"win","loss"))</f>
      </c>
      <c r="R512" s="0" t="inlineStr">
        <is>
          <t xml:space="preserve"/>
        </is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>
        <f>IF(C513="","",IFERROR(LOOKUP(2,1/(($C$2:$C$1001=C513)*($Q$2:$Q$1001="win")),$O$2:$O$1001),""))</f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>
        <f>IF(N513="","",IF(OR(ISNUMBER(SEARCH("狼",N513)),ISNUMBER(SEARCH("石像鬼",N513)),ISNUMBER(SEARCH("恶灵骑士",N513)),ISNUMBER(SEARCH("黑蝙蝠",N513)),ISNUMBER(SEARCH("血月使徒",N513))),"werewolves","villagers"))</f>
      </c>
      <c r="P513" s="0" t="inlineStr">
        <is>
          <t xml:space="preserve"/>
        </is>
      </c>
      <c r="Q513" s="0">
        <f>IF(P513="","",IF(ROUND(P513,2)=5,"win","loss"))</f>
      </c>
      <c r="R513" s="0" t="inlineStr">
        <is>
          <t xml:space="preserve"/>
        </is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>
        <f>IF(C514="","",IFERROR(LOOKUP(2,1/(($C$2:$C$1001=C514)*($Q$2:$Q$1001="win")),$O$2:$O$1001),""))</f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>
        <f>IF(N514="","",IF(OR(ISNUMBER(SEARCH("狼",N514)),ISNUMBER(SEARCH("石像鬼",N514)),ISNUMBER(SEARCH("恶灵骑士",N514)),ISNUMBER(SEARCH("黑蝙蝠",N514)),ISNUMBER(SEARCH("血月使徒",N514))),"werewolves","villagers"))</f>
      </c>
      <c r="P514" s="0" t="inlineStr">
        <is>
          <t xml:space="preserve"/>
        </is>
      </c>
      <c r="Q514" s="0">
        <f>IF(P514="","",IF(ROUND(P514,2)=5,"win","loss"))</f>
      </c>
      <c r="R514" s="0" t="inlineStr">
        <is>
          <t xml:space="preserve"/>
        </is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>
        <f>IF(C515="","",IFERROR(LOOKUP(2,1/(($C$2:$C$1001=C515)*($Q$2:$Q$1001="win")),$O$2:$O$1001),""))</f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>
        <f>IF(N515="","",IF(OR(ISNUMBER(SEARCH("狼",N515)),ISNUMBER(SEARCH("石像鬼",N515)),ISNUMBER(SEARCH("恶灵骑士",N515)),ISNUMBER(SEARCH("黑蝙蝠",N515)),ISNUMBER(SEARCH("血月使徒",N515))),"werewolves","villagers"))</f>
      </c>
      <c r="P515" s="0" t="inlineStr">
        <is>
          <t xml:space="preserve"/>
        </is>
      </c>
      <c r="Q515" s="0">
        <f>IF(P515="","",IF(ROUND(P515,2)=5,"win","loss"))</f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>
        <f>IF(C516="","",IFERROR(LOOKUP(2,1/(($C$2:$C$1001=C516)*($Q$2:$Q$1001="win")),$O$2:$O$1001),""))</f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>
        <f>IF(N516="","",IF(OR(ISNUMBER(SEARCH("狼",N516)),ISNUMBER(SEARCH("石像鬼",N516)),ISNUMBER(SEARCH("恶灵骑士",N516)),ISNUMBER(SEARCH("黑蝙蝠",N516)),ISNUMBER(SEARCH("血月使徒",N516))),"werewolves","villagers"))</f>
      </c>
      <c r="P516" s="0" t="inlineStr">
        <is>
          <t xml:space="preserve"/>
        </is>
      </c>
      <c r="Q516" s="0">
        <f>IF(P516="","",IF(ROUND(P516,2)=5,"win","loss"))</f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>
        <f>IF(C517="","",IFERROR(LOOKUP(2,1/(($C$2:$C$1001=C517)*($Q$2:$Q$1001="win")),$O$2:$O$1001),""))</f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>
        <f>IF(N517="","",IF(OR(ISNUMBER(SEARCH("狼",N517)),ISNUMBER(SEARCH("石像鬼",N517)),ISNUMBER(SEARCH("恶灵骑士",N517)),ISNUMBER(SEARCH("黑蝙蝠",N517)),ISNUMBER(SEARCH("血月使徒",N517))),"werewolves","villagers"))</f>
      </c>
      <c r="P517" s="0" t="inlineStr">
        <is>
          <t xml:space="preserve"/>
        </is>
      </c>
      <c r="Q517" s="0">
        <f>IF(P517="","",IF(ROUND(P517,2)=5,"win","loss"))</f>
      </c>
      <c r="R517" s="0" t="inlineStr">
        <is>
          <t xml:space="preserve"/>
        </is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>
        <f>IF(C518="","",IFERROR(LOOKUP(2,1/(($C$2:$C$1001=C518)*($Q$2:$Q$1001="win")),$O$2:$O$1001),""))</f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>
        <f>IF(N518="","",IF(OR(ISNUMBER(SEARCH("狼",N518)),ISNUMBER(SEARCH("石像鬼",N518)),ISNUMBER(SEARCH("恶灵骑士",N518)),ISNUMBER(SEARCH("黑蝙蝠",N518)),ISNUMBER(SEARCH("血月使徒",N518))),"werewolves","villagers"))</f>
      </c>
      <c r="P518" s="0" t="inlineStr">
        <is>
          <t xml:space="preserve"/>
        </is>
      </c>
      <c r="Q518" s="0">
        <f>IF(P518="","",IF(ROUND(P518,2)=5,"win","loss"))</f>
      </c>
      <c r="R518" s="0" t="inlineStr">
        <is>
          <t xml:space="preserve"/>
        </is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>
        <f>IF(C519="","",IFERROR(LOOKUP(2,1/(($C$2:$C$1001=C519)*($Q$2:$Q$1001="win")),$O$2:$O$1001),""))</f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>
        <f>IF(N519="","",IF(OR(ISNUMBER(SEARCH("狼",N519)),ISNUMBER(SEARCH("石像鬼",N519)),ISNUMBER(SEARCH("恶灵骑士",N519)),ISNUMBER(SEARCH("黑蝙蝠",N519)),ISNUMBER(SEARCH("血月使徒",N519))),"werewolves","villagers"))</f>
      </c>
      <c r="P519" s="0" t="inlineStr">
        <is>
          <t xml:space="preserve"/>
        </is>
      </c>
      <c r="Q519" s="0">
        <f>IF(P519="","",IF(ROUND(P519,2)=5,"win","loss"))</f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>
        <f>IF(C520="","",IFERROR(LOOKUP(2,1/(($C$2:$C$1001=C520)*($Q$2:$Q$1001="win")),$O$2:$O$1001),""))</f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>
        <f>IF(N520="","",IF(OR(ISNUMBER(SEARCH("狼",N520)),ISNUMBER(SEARCH("石像鬼",N520)),ISNUMBER(SEARCH("恶灵骑士",N520)),ISNUMBER(SEARCH("黑蝙蝠",N520)),ISNUMBER(SEARCH("血月使徒",N520))),"werewolves","villagers"))</f>
      </c>
      <c r="P520" s="0" t="inlineStr">
        <is>
          <t xml:space="preserve"/>
        </is>
      </c>
      <c r="Q520" s="0">
        <f>IF(P520="","",IF(ROUND(P520,2)=5,"win","loss"))</f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>
        <f>IF(C521="","",IFERROR(LOOKUP(2,1/(($C$2:$C$1001=C521)*($Q$2:$Q$1001="win")),$O$2:$O$1001),""))</f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>
        <f>IF(N521="","",IF(OR(ISNUMBER(SEARCH("狼",N521)),ISNUMBER(SEARCH("石像鬼",N521)),ISNUMBER(SEARCH("恶灵骑士",N521)),ISNUMBER(SEARCH("黑蝙蝠",N521)),ISNUMBER(SEARCH("血月使徒",N521))),"werewolves","villagers"))</f>
      </c>
      <c r="P521" s="0" t="inlineStr">
        <is>
          <t xml:space="preserve"/>
        </is>
      </c>
      <c r="Q521" s="0">
        <f>IF(P521="","",IF(ROUND(P521,2)=5,"win","loss"))</f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>
        <f>IF(C522="","",IFERROR(LOOKUP(2,1/(($C$2:$C$1001=C522)*($Q$2:$Q$1001="win")),$O$2:$O$1001),""))</f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>
        <f>IF(N522="","",IF(OR(ISNUMBER(SEARCH("狼",N522)),ISNUMBER(SEARCH("石像鬼",N522)),ISNUMBER(SEARCH("恶灵骑士",N522)),ISNUMBER(SEARCH("黑蝙蝠",N522)),ISNUMBER(SEARCH("血月使徒",N522))),"werewolves","villagers"))</f>
      </c>
      <c r="P522" s="0" t="inlineStr">
        <is>
          <t xml:space="preserve"/>
        </is>
      </c>
      <c r="Q522" s="0">
        <f>IF(P522="","",IF(ROUND(P522,2)=5,"win","loss"))</f>
      </c>
      <c r="R522" s="0" t="inlineStr">
        <is>
          <t xml:space="preserve"/>
        </is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>
        <f>IF(C523="","",IFERROR(LOOKUP(2,1/(($C$2:$C$1001=C523)*($Q$2:$Q$1001="win")),$O$2:$O$1001),""))</f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>
        <f>IF(N523="","",IF(OR(ISNUMBER(SEARCH("狼",N523)),ISNUMBER(SEARCH("石像鬼",N523)),ISNUMBER(SEARCH("恶灵骑士",N523)),ISNUMBER(SEARCH("黑蝙蝠",N523)),ISNUMBER(SEARCH("血月使徒",N523))),"werewolves","villagers"))</f>
      </c>
      <c r="P523" s="0" t="inlineStr">
        <is>
          <t xml:space="preserve"/>
        </is>
      </c>
      <c r="Q523" s="0">
        <f>IF(P523="","",IF(ROUND(P523,2)=5,"win","loss"))</f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>
        <f>IF(C524="","",IFERROR(LOOKUP(2,1/(($C$2:$C$1001=C524)*($Q$2:$Q$1001="win")),$O$2:$O$1001),""))</f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>
        <f>IF(N524="","",IF(OR(ISNUMBER(SEARCH("狼",N524)),ISNUMBER(SEARCH("石像鬼",N524)),ISNUMBER(SEARCH("恶灵骑士",N524)),ISNUMBER(SEARCH("黑蝙蝠",N524)),ISNUMBER(SEARCH("血月使徒",N524))),"werewolves","villagers"))</f>
      </c>
      <c r="P524" s="0" t="inlineStr">
        <is>
          <t xml:space="preserve"/>
        </is>
      </c>
      <c r="Q524" s="0">
        <f>IF(P524="","",IF(ROUND(P524,2)=5,"win","loss"))</f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>
        <f>IF(C525="","",IFERROR(LOOKUP(2,1/(($C$2:$C$1001=C525)*($Q$2:$Q$1001="win")),$O$2:$O$1001),""))</f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>
        <f>IF(N525="","",IF(OR(ISNUMBER(SEARCH("狼",N525)),ISNUMBER(SEARCH("石像鬼",N525)),ISNUMBER(SEARCH("恶灵骑士",N525)),ISNUMBER(SEARCH("黑蝙蝠",N525)),ISNUMBER(SEARCH("血月使徒",N525))),"werewolves","villagers"))</f>
      </c>
      <c r="P525" s="0" t="inlineStr">
        <is>
          <t xml:space="preserve"/>
        </is>
      </c>
      <c r="Q525" s="0">
        <f>IF(P525="","",IF(ROUND(P525,2)=5,"win","loss"))</f>
      </c>
      <c r="R525" s="0" t="inlineStr">
        <is>
          <t xml:space="preserve"/>
        </is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>
        <f>IF(C526="","",IFERROR(LOOKUP(2,1/(($C$2:$C$1001=C526)*($Q$2:$Q$1001="win")),$O$2:$O$1001),""))</f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>
        <f>IF(N526="","",IF(OR(ISNUMBER(SEARCH("狼",N526)),ISNUMBER(SEARCH("石像鬼",N526)),ISNUMBER(SEARCH("恶灵骑士",N526)),ISNUMBER(SEARCH("黑蝙蝠",N526)),ISNUMBER(SEARCH("血月使徒",N526))),"werewolves","villagers"))</f>
      </c>
      <c r="P526" s="0" t="inlineStr">
        <is>
          <t xml:space="preserve"/>
        </is>
      </c>
      <c r="Q526" s="0">
        <f>IF(P526="","",IF(ROUND(P526,2)=5,"win","loss"))</f>
      </c>
      <c r="R526" s="0" t="inlineStr">
        <is>
          <t xml:space="preserve"/>
        </is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>
        <f>IF(C527="","",IFERROR(LOOKUP(2,1/(($C$2:$C$1001=C527)*($Q$2:$Q$1001="win")),$O$2:$O$1001),""))</f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>
        <f>IF(N527="","",IF(OR(ISNUMBER(SEARCH("狼",N527)),ISNUMBER(SEARCH("石像鬼",N527)),ISNUMBER(SEARCH("恶灵骑士",N527)),ISNUMBER(SEARCH("黑蝙蝠",N527)),ISNUMBER(SEARCH("血月使徒",N527))),"werewolves","villagers"))</f>
      </c>
      <c r="P527" s="0" t="inlineStr">
        <is>
          <t xml:space="preserve"/>
        </is>
      </c>
      <c r="Q527" s="0">
        <f>IF(P527="","",IF(ROUND(P527,2)=5,"win","loss"))</f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>
        <f>IF(C528="","",IFERROR(LOOKUP(2,1/(($C$2:$C$1001=C528)*($Q$2:$Q$1001="win")),$O$2:$O$1001),""))</f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>
        <f>IF(N528="","",IF(OR(ISNUMBER(SEARCH("狼",N528)),ISNUMBER(SEARCH("石像鬼",N528)),ISNUMBER(SEARCH("恶灵骑士",N528)),ISNUMBER(SEARCH("黑蝙蝠",N528)),ISNUMBER(SEARCH("血月使徒",N528))),"werewolves","villagers"))</f>
      </c>
      <c r="P528" s="0" t="inlineStr">
        <is>
          <t xml:space="preserve"/>
        </is>
      </c>
      <c r="Q528" s="0">
        <f>IF(P528="","",IF(ROUND(P528,2)=5,"win","loss"))</f>
      </c>
      <c r="R528" s="0" t="inlineStr">
        <is>
          <t xml:space="preserve"/>
        </is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>
        <f>IF(C529="","",IFERROR(LOOKUP(2,1/(($C$2:$C$1001=C529)*($Q$2:$Q$1001="win")),$O$2:$O$1001),""))</f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>
        <f>IF(N529="","",IF(OR(ISNUMBER(SEARCH("狼",N529)),ISNUMBER(SEARCH("石像鬼",N529)),ISNUMBER(SEARCH("恶灵骑士",N529)),ISNUMBER(SEARCH("黑蝙蝠",N529)),ISNUMBER(SEARCH("血月使徒",N529))),"werewolves","villagers"))</f>
      </c>
      <c r="P529" s="0" t="inlineStr">
        <is>
          <t xml:space="preserve"/>
        </is>
      </c>
      <c r="Q529" s="0">
        <f>IF(P529="","",IF(ROUND(P529,2)=5,"win","loss"))</f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>
        <f>IF(C530="","",IFERROR(LOOKUP(2,1/(($C$2:$C$1001=C530)*($Q$2:$Q$1001="win")),$O$2:$O$1001),""))</f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>
        <f>IF(N530="","",IF(OR(ISNUMBER(SEARCH("狼",N530)),ISNUMBER(SEARCH("石像鬼",N530)),ISNUMBER(SEARCH("恶灵骑士",N530)),ISNUMBER(SEARCH("黑蝙蝠",N530)),ISNUMBER(SEARCH("血月使徒",N530))),"werewolves","villagers"))</f>
      </c>
      <c r="P530" s="0" t="inlineStr">
        <is>
          <t xml:space="preserve"/>
        </is>
      </c>
      <c r="Q530" s="0">
        <f>IF(P530="","",IF(ROUND(P530,2)=5,"win","loss"))</f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>
        <f>IF(C531="","",IFERROR(LOOKUP(2,1/(($C$2:$C$1001=C531)*($Q$2:$Q$1001="win")),$O$2:$O$1001),""))</f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>
        <f>IF(N531="","",IF(OR(ISNUMBER(SEARCH("狼",N531)),ISNUMBER(SEARCH("石像鬼",N531)),ISNUMBER(SEARCH("恶灵骑士",N531)),ISNUMBER(SEARCH("黑蝙蝠",N531)),ISNUMBER(SEARCH("血月使徒",N531))),"werewolves","villagers"))</f>
      </c>
      <c r="P531" s="0" t="inlineStr">
        <is>
          <t xml:space="preserve"/>
        </is>
      </c>
      <c r="Q531" s="0">
        <f>IF(P531="","",IF(ROUND(P531,2)=5,"win","loss"))</f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>
        <f>IF(C532="","",IFERROR(LOOKUP(2,1/(($C$2:$C$1001=C532)*($Q$2:$Q$1001="win")),$O$2:$O$1001),""))</f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>
        <f>IF(N532="","",IF(OR(ISNUMBER(SEARCH("狼",N532)),ISNUMBER(SEARCH("石像鬼",N532)),ISNUMBER(SEARCH("恶灵骑士",N532)),ISNUMBER(SEARCH("黑蝙蝠",N532)),ISNUMBER(SEARCH("血月使徒",N532))),"werewolves","villagers"))</f>
      </c>
      <c r="P532" s="0" t="inlineStr">
        <is>
          <t xml:space="preserve"/>
        </is>
      </c>
      <c r="Q532" s="0">
        <f>IF(P532="","",IF(ROUND(P532,2)=5,"win","loss"))</f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>
        <f>IF(C533="","",IFERROR(LOOKUP(2,1/(($C$2:$C$1001=C533)*($Q$2:$Q$1001="win")),$O$2:$O$1001),""))</f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>
        <f>IF(N533="","",IF(OR(ISNUMBER(SEARCH("狼",N533)),ISNUMBER(SEARCH("石像鬼",N533)),ISNUMBER(SEARCH("恶灵骑士",N533)),ISNUMBER(SEARCH("黑蝙蝠",N533)),ISNUMBER(SEARCH("血月使徒",N533))),"werewolves","villagers"))</f>
      </c>
      <c r="P533" s="0" t="inlineStr">
        <is>
          <t xml:space="preserve"/>
        </is>
      </c>
      <c r="Q533" s="0">
        <f>IF(P533="","",IF(ROUND(P533,2)=5,"win","loss"))</f>
      </c>
      <c r="R533" s="0" t="inlineStr">
        <is>
          <t xml:space="preserve"/>
        </is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>
        <f>IF(C534="","",IFERROR(LOOKUP(2,1/(($C$2:$C$1001=C534)*($Q$2:$Q$1001="win")),$O$2:$O$1001),""))</f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>
        <f>IF(N534="","",IF(OR(ISNUMBER(SEARCH("狼",N534)),ISNUMBER(SEARCH("石像鬼",N534)),ISNUMBER(SEARCH("恶灵骑士",N534)),ISNUMBER(SEARCH("黑蝙蝠",N534)),ISNUMBER(SEARCH("血月使徒",N534))),"werewolves","villagers"))</f>
      </c>
      <c r="P534" s="0" t="inlineStr">
        <is>
          <t xml:space="preserve"/>
        </is>
      </c>
      <c r="Q534" s="0">
        <f>IF(P534="","",IF(ROUND(P534,2)=5,"win","loss"))</f>
      </c>
      <c r="R534" s="0" t="inlineStr">
        <is>
          <t xml:space="preserve"/>
        </is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>
        <f>IF(C535="","",IFERROR(LOOKUP(2,1/(($C$2:$C$1001=C535)*($Q$2:$Q$1001="win")),$O$2:$O$1001),""))</f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>
        <f>IF(N535="","",IF(OR(ISNUMBER(SEARCH("狼",N535)),ISNUMBER(SEARCH("石像鬼",N535)),ISNUMBER(SEARCH("恶灵骑士",N535)),ISNUMBER(SEARCH("黑蝙蝠",N535)),ISNUMBER(SEARCH("血月使徒",N535))),"werewolves","villagers"))</f>
      </c>
      <c r="P535" s="0" t="inlineStr">
        <is>
          <t xml:space="preserve"/>
        </is>
      </c>
      <c r="Q535" s="0">
        <f>IF(P535="","",IF(ROUND(P535,2)=5,"win","loss"))</f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>
        <f>IF(C536="","",IFERROR(LOOKUP(2,1/(($C$2:$C$1001=C536)*($Q$2:$Q$1001="win")),$O$2:$O$1001),""))</f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>
        <f>IF(N536="","",IF(OR(ISNUMBER(SEARCH("狼",N536)),ISNUMBER(SEARCH("石像鬼",N536)),ISNUMBER(SEARCH("恶灵骑士",N536)),ISNUMBER(SEARCH("黑蝙蝠",N536)),ISNUMBER(SEARCH("血月使徒",N536))),"werewolves","villagers"))</f>
      </c>
      <c r="P536" s="0" t="inlineStr">
        <is>
          <t xml:space="preserve"/>
        </is>
      </c>
      <c r="Q536" s="0">
        <f>IF(P536="","",IF(ROUND(P536,2)=5,"win","loss"))</f>
      </c>
      <c r="R536" s="0" t="inlineStr">
        <is>
          <t xml:space="preserve"/>
        </is>
      </c>
      <c r="S536" s="0" t="inlineStr">
        <is>
          <t xml:space="preserve"/>
        </is>
      </c>
      <c r="T536" s="0" t="inlineStr">
        <is>
          <t xml:space="preserve"/>
        </is>
      </c>
      <c r="U536" s="0" t="inlineStr">
        <is>
          <t xml:space="preserve"/>
        </is>
      </c>
      <c r="V536" s="0" t="inlineStr">
        <is>
          <t xml:space="preserve"/>
        </is>
      </c>
      <c r="W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>
        <f>IF(C537="","",IFERROR(LOOKUP(2,1/(($C$2:$C$1001=C537)*($Q$2:$Q$1001="win")),$O$2:$O$1001),""))</f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>
        <f>IF(N537="","",IF(OR(ISNUMBER(SEARCH("狼",N537)),ISNUMBER(SEARCH("石像鬼",N537)),ISNUMBER(SEARCH("恶灵骑士",N537)),ISNUMBER(SEARCH("黑蝙蝠",N537)),ISNUMBER(SEARCH("血月使徒",N537))),"werewolves","villagers"))</f>
      </c>
      <c r="P537" s="0" t="inlineStr">
        <is>
          <t xml:space="preserve"/>
        </is>
      </c>
      <c r="Q537" s="0">
        <f>IF(P537="","",IF(ROUND(P537,2)=5,"win","loss"))</f>
      </c>
      <c r="R537" s="0" t="inlineStr">
        <is>
          <t xml:space="preserve"/>
        </is>
      </c>
      <c r="S537" s="0" t="inlineStr">
        <is>
          <t xml:space="preserve"/>
        </is>
      </c>
      <c r="T537" s="0" t="inlineStr">
        <is>
          <t xml:space="preserve"/>
        </is>
      </c>
      <c r="U537" s="0" t="inlineStr">
        <is>
          <t xml:space="preserve"/>
        </is>
      </c>
      <c r="V537" s="0" t="inlineStr">
        <is>
          <t xml:space="preserve"/>
        </is>
      </c>
      <c r="W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>
        <f>IF(C538="","",IFERROR(LOOKUP(2,1/(($C$2:$C$1001=C538)*($Q$2:$Q$1001="win")),$O$2:$O$1001),""))</f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>
        <f>IF(N538="","",IF(OR(ISNUMBER(SEARCH("狼",N538)),ISNUMBER(SEARCH("石像鬼",N538)),ISNUMBER(SEARCH("恶灵骑士",N538)),ISNUMBER(SEARCH("黑蝙蝠",N538)),ISNUMBER(SEARCH("血月使徒",N538))),"werewolves","villagers"))</f>
      </c>
      <c r="P538" s="0" t="inlineStr">
        <is>
          <t xml:space="preserve"/>
        </is>
      </c>
      <c r="Q538" s="0">
        <f>IF(P538="","",IF(ROUND(P538,2)=5,"win","loss"))</f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>
        <f>IF(C539="","",IFERROR(LOOKUP(2,1/(($C$2:$C$1001=C539)*($Q$2:$Q$1001="win")),$O$2:$O$1001),""))</f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>
        <f>IF(N539="","",IF(OR(ISNUMBER(SEARCH("狼",N539)),ISNUMBER(SEARCH("石像鬼",N539)),ISNUMBER(SEARCH("恶灵骑士",N539)),ISNUMBER(SEARCH("黑蝙蝠",N539)),ISNUMBER(SEARCH("血月使徒",N539))),"werewolves","villagers"))</f>
      </c>
      <c r="P539" s="0" t="inlineStr">
        <is>
          <t xml:space="preserve"/>
        </is>
      </c>
      <c r="Q539" s="0">
        <f>IF(P539="","",IF(ROUND(P539,2)=5,"win","loss"))</f>
      </c>
      <c r="R539" s="0" t="inlineStr">
        <is>
          <t xml:space="preserve"/>
        </is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>
        <f>IF(C540="","",IFERROR(LOOKUP(2,1/(($C$2:$C$1001=C540)*($Q$2:$Q$1001="win")),$O$2:$O$1001),""))</f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>
        <f>IF(N540="","",IF(OR(ISNUMBER(SEARCH("狼",N540)),ISNUMBER(SEARCH("石像鬼",N540)),ISNUMBER(SEARCH("恶灵骑士",N540)),ISNUMBER(SEARCH("黑蝙蝠",N540)),ISNUMBER(SEARCH("血月使徒",N540))),"werewolves","villagers"))</f>
      </c>
      <c r="P540" s="0" t="inlineStr">
        <is>
          <t xml:space="preserve"/>
        </is>
      </c>
      <c r="Q540" s="0">
        <f>IF(P540="","",IF(ROUND(P540,2)=5,"win","loss"))</f>
      </c>
      <c r="R540" s="0" t="inlineStr">
        <is>
          <t xml:space="preserve"/>
        </is>
      </c>
      <c r="S540" s="0" t="inlineStr">
        <is>
          <t xml:space="preserve"/>
        </is>
      </c>
      <c r="T540" s="0" t="inlineStr">
        <is>
          <t xml:space="preserve"/>
        </is>
      </c>
      <c r="U540" s="0" t="inlineStr">
        <is>
          <t xml:space="preserve"/>
        </is>
      </c>
      <c r="V540" s="0" t="inlineStr">
        <is>
          <t xml:space="preserve"/>
        </is>
      </c>
      <c r="W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>
        <f>IF(C541="","",IFERROR(LOOKUP(2,1/(($C$2:$C$1001=C541)*($Q$2:$Q$1001="win")),$O$2:$O$1001),""))</f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>
        <f>IF(N541="","",IF(OR(ISNUMBER(SEARCH("狼",N541)),ISNUMBER(SEARCH("石像鬼",N541)),ISNUMBER(SEARCH("恶灵骑士",N541)),ISNUMBER(SEARCH("黑蝙蝠",N541)),ISNUMBER(SEARCH("血月使徒",N541))),"werewolves","villagers"))</f>
      </c>
      <c r="P541" s="0" t="inlineStr">
        <is>
          <t xml:space="preserve"/>
        </is>
      </c>
      <c r="Q541" s="0">
        <f>IF(P541="","",IF(ROUND(P541,2)=5,"win","loss"))</f>
      </c>
      <c r="R541" s="0" t="inlineStr">
        <is>
          <t xml:space="preserve"/>
        </is>
      </c>
      <c r="S541" s="0" t="inlineStr">
        <is>
          <t xml:space="preserve"/>
        </is>
      </c>
      <c r="T541" s="0" t="inlineStr">
        <is>
          <t xml:space="preserve"/>
        </is>
      </c>
      <c r="U541" s="0" t="inlineStr">
        <is>
          <t xml:space="preserve"/>
        </is>
      </c>
      <c r="V541" s="0" t="inlineStr">
        <is>
          <t xml:space="preserve"/>
        </is>
      </c>
      <c r="W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>
        <f>IF(C542="","",IFERROR(LOOKUP(2,1/(($C$2:$C$1001=C542)*($Q$2:$Q$1001="win")),$O$2:$O$1001),""))</f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>
        <f>IF(N542="","",IF(OR(ISNUMBER(SEARCH("狼",N542)),ISNUMBER(SEARCH("石像鬼",N542)),ISNUMBER(SEARCH("恶灵骑士",N542)),ISNUMBER(SEARCH("黑蝙蝠",N542)),ISNUMBER(SEARCH("血月使徒",N542))),"werewolves","villagers"))</f>
      </c>
      <c r="P542" s="0" t="inlineStr">
        <is>
          <t xml:space="preserve"/>
        </is>
      </c>
      <c r="Q542" s="0">
        <f>IF(P542="","",IF(ROUND(P542,2)=5,"win","loss"))</f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>
        <f>IF(C543="","",IFERROR(LOOKUP(2,1/(($C$2:$C$1001=C543)*($Q$2:$Q$1001="win")),$O$2:$O$1001),""))</f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>
        <f>IF(N543="","",IF(OR(ISNUMBER(SEARCH("狼",N543)),ISNUMBER(SEARCH("石像鬼",N543)),ISNUMBER(SEARCH("恶灵骑士",N543)),ISNUMBER(SEARCH("黑蝙蝠",N543)),ISNUMBER(SEARCH("血月使徒",N543))),"werewolves","villagers"))</f>
      </c>
      <c r="P543" s="0" t="inlineStr">
        <is>
          <t xml:space="preserve"/>
        </is>
      </c>
      <c r="Q543" s="0">
        <f>IF(P543="","",IF(ROUND(P543,2)=5,"win","loss"))</f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>
        <f>IF(C544="","",IFERROR(LOOKUP(2,1/(($C$2:$C$1001=C544)*($Q$2:$Q$1001="win")),$O$2:$O$1001),""))</f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>
        <f>IF(N544="","",IF(OR(ISNUMBER(SEARCH("狼",N544)),ISNUMBER(SEARCH("石像鬼",N544)),ISNUMBER(SEARCH("恶灵骑士",N544)),ISNUMBER(SEARCH("黑蝙蝠",N544)),ISNUMBER(SEARCH("血月使徒",N544))),"werewolves","villagers"))</f>
      </c>
      <c r="P544" s="0" t="inlineStr">
        <is>
          <t xml:space="preserve"/>
        </is>
      </c>
      <c r="Q544" s="0">
        <f>IF(P544="","",IF(ROUND(P544,2)=5,"win","loss"))</f>
      </c>
      <c r="R544" s="0" t="inlineStr">
        <is>
          <t xml:space="preserve"/>
        </is>
      </c>
      <c r="S544" s="0" t="inlineStr">
        <is>
          <t xml:space="preserve"/>
        </is>
      </c>
      <c r="T544" s="0" t="inlineStr">
        <is>
          <t xml:space="preserve"/>
        </is>
      </c>
      <c r="U544" s="0" t="inlineStr">
        <is>
          <t xml:space="preserve"/>
        </is>
      </c>
      <c r="V544" s="0" t="inlineStr">
        <is>
          <t xml:space="preserve"/>
        </is>
      </c>
      <c r="W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>
        <f>IF(C545="","",IFERROR(LOOKUP(2,1/(($C$2:$C$1001=C545)*($Q$2:$Q$1001="win")),$O$2:$O$1001),""))</f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>
        <f>IF(N545="","",IF(OR(ISNUMBER(SEARCH("狼",N545)),ISNUMBER(SEARCH("石像鬼",N545)),ISNUMBER(SEARCH("恶灵骑士",N545)),ISNUMBER(SEARCH("黑蝙蝠",N545)),ISNUMBER(SEARCH("血月使徒",N545))),"werewolves","villagers"))</f>
      </c>
      <c r="P545" s="0" t="inlineStr">
        <is>
          <t xml:space="preserve"/>
        </is>
      </c>
      <c r="Q545" s="0">
        <f>IF(P545="","",IF(ROUND(P545,2)=5,"win","loss"))</f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>
        <f>IF(C546="","",IFERROR(LOOKUP(2,1/(($C$2:$C$1001=C546)*($Q$2:$Q$1001="win")),$O$2:$O$1001),""))</f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>
        <f>IF(N546="","",IF(OR(ISNUMBER(SEARCH("狼",N546)),ISNUMBER(SEARCH("石像鬼",N546)),ISNUMBER(SEARCH("恶灵骑士",N546)),ISNUMBER(SEARCH("黑蝙蝠",N546)),ISNUMBER(SEARCH("血月使徒",N546))),"werewolves","villagers"))</f>
      </c>
      <c r="P546" s="0" t="inlineStr">
        <is>
          <t xml:space="preserve"/>
        </is>
      </c>
      <c r="Q546" s="0">
        <f>IF(P546="","",IF(ROUND(P546,2)=5,"win","loss"))</f>
      </c>
      <c r="R546" s="0" t="inlineStr">
        <is>
          <t xml:space="preserve"/>
        </is>
      </c>
      <c r="S546" s="0" t="inlineStr">
        <is>
          <t xml:space="preserve"/>
        </is>
      </c>
      <c r="T546" s="0" t="inlineStr">
        <is>
          <t xml:space="preserve"/>
        </is>
      </c>
      <c r="U546" s="0" t="inlineStr">
        <is>
          <t xml:space="preserve"/>
        </is>
      </c>
      <c r="V546" s="0" t="inlineStr">
        <is>
          <t xml:space="preserve"/>
        </is>
      </c>
      <c r="W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>
        <f>IF(C547="","",IFERROR(LOOKUP(2,1/(($C$2:$C$1001=C547)*($Q$2:$Q$1001="win")),$O$2:$O$1001),""))</f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>
        <f>IF(N547="","",IF(OR(ISNUMBER(SEARCH("狼",N547)),ISNUMBER(SEARCH("石像鬼",N547)),ISNUMBER(SEARCH("恶灵骑士",N547)),ISNUMBER(SEARCH("黑蝙蝠",N547)),ISNUMBER(SEARCH("血月使徒",N547))),"werewolves","villagers"))</f>
      </c>
      <c r="P547" s="0" t="inlineStr">
        <is>
          <t xml:space="preserve"/>
        </is>
      </c>
      <c r="Q547" s="0">
        <f>IF(P547="","",IF(ROUND(P547,2)=5,"win","loss"))</f>
      </c>
      <c r="R547" s="0" t="inlineStr">
        <is>
          <t xml:space="preserve"/>
        </is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>
        <f>IF(C548="","",IFERROR(LOOKUP(2,1/(($C$2:$C$1001=C548)*($Q$2:$Q$1001="win")),$O$2:$O$1001),""))</f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>
        <f>IF(N548="","",IF(OR(ISNUMBER(SEARCH("狼",N548)),ISNUMBER(SEARCH("石像鬼",N548)),ISNUMBER(SEARCH("恶灵骑士",N548)),ISNUMBER(SEARCH("黑蝙蝠",N548)),ISNUMBER(SEARCH("血月使徒",N548))),"werewolves","villagers"))</f>
      </c>
      <c r="P548" s="0" t="inlineStr">
        <is>
          <t xml:space="preserve"/>
        </is>
      </c>
      <c r="Q548" s="0">
        <f>IF(P548="","",IF(ROUND(P548,2)=5,"win","loss"))</f>
      </c>
      <c r="R548" s="0" t="inlineStr">
        <is>
          <t xml:space="preserve"/>
        </is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>
        <f>IF(C549="","",IFERROR(LOOKUP(2,1/(($C$2:$C$1001=C549)*($Q$2:$Q$1001="win")),$O$2:$O$1001),""))</f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>
        <f>IF(N549="","",IF(OR(ISNUMBER(SEARCH("狼",N549)),ISNUMBER(SEARCH("石像鬼",N549)),ISNUMBER(SEARCH("恶灵骑士",N549)),ISNUMBER(SEARCH("黑蝙蝠",N549)),ISNUMBER(SEARCH("血月使徒",N549))),"werewolves","villagers"))</f>
      </c>
      <c r="P549" s="0" t="inlineStr">
        <is>
          <t xml:space="preserve"/>
        </is>
      </c>
      <c r="Q549" s="0">
        <f>IF(P549="","",IF(ROUND(P549,2)=5,"win","loss"))</f>
      </c>
      <c r="R549" s="0" t="inlineStr">
        <is>
          <t xml:space="preserve"/>
        </is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>
        <f>IF(C550="","",IFERROR(LOOKUP(2,1/(($C$2:$C$1001=C550)*($Q$2:$Q$1001="win")),$O$2:$O$1001),""))</f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>
        <f>IF(N550="","",IF(OR(ISNUMBER(SEARCH("狼",N550)),ISNUMBER(SEARCH("石像鬼",N550)),ISNUMBER(SEARCH("恶灵骑士",N550)),ISNUMBER(SEARCH("黑蝙蝠",N550)),ISNUMBER(SEARCH("血月使徒",N550))),"werewolves","villagers"))</f>
      </c>
      <c r="P550" s="0" t="inlineStr">
        <is>
          <t xml:space="preserve"/>
        </is>
      </c>
      <c r="Q550" s="0">
        <f>IF(P550="","",IF(ROUND(P550,2)=5,"win","loss"))</f>
      </c>
      <c r="R550" s="0" t="inlineStr">
        <is>
          <t xml:space="preserve"/>
        </is>
      </c>
      <c r="S550" s="0" t="inlineStr">
        <is>
          <t xml:space="preserve"/>
        </is>
      </c>
      <c r="T550" s="0" t="inlineStr">
        <is>
          <t xml:space="preserve"/>
        </is>
      </c>
      <c r="U550" s="0" t="inlineStr">
        <is>
          <t xml:space="preserve"/>
        </is>
      </c>
      <c r="V550" s="0" t="inlineStr">
        <is>
          <t xml:space="preserve"/>
        </is>
      </c>
      <c r="W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>
        <f>IF(C551="","",IFERROR(LOOKUP(2,1/(($C$2:$C$1001=C551)*($Q$2:$Q$1001="win")),$O$2:$O$1001),""))</f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>
        <f>IF(N551="","",IF(OR(ISNUMBER(SEARCH("狼",N551)),ISNUMBER(SEARCH("石像鬼",N551)),ISNUMBER(SEARCH("恶灵骑士",N551)),ISNUMBER(SEARCH("黑蝙蝠",N551)),ISNUMBER(SEARCH("血月使徒",N551))),"werewolves","villagers"))</f>
      </c>
      <c r="P551" s="0" t="inlineStr">
        <is>
          <t xml:space="preserve"/>
        </is>
      </c>
      <c r="Q551" s="0">
        <f>IF(P551="","",IF(ROUND(P551,2)=5,"win","loss"))</f>
      </c>
      <c r="R551" s="0" t="inlineStr">
        <is>
          <t xml:space="preserve"/>
        </is>
      </c>
      <c r="S551" s="0" t="inlineStr">
        <is>
          <t xml:space="preserve"/>
        </is>
      </c>
      <c r="T551" s="0" t="inlineStr">
        <is>
          <t xml:space="preserve"/>
        </is>
      </c>
      <c r="U551" s="0" t="inlineStr">
        <is>
          <t xml:space="preserve"/>
        </is>
      </c>
      <c r="V551" s="0" t="inlineStr">
        <is>
          <t xml:space="preserve"/>
        </is>
      </c>
      <c r="W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>
        <f>IF(C552="","",IFERROR(LOOKUP(2,1/(($C$2:$C$1001=C552)*($Q$2:$Q$1001="win")),$O$2:$O$1001),""))</f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>
        <f>IF(N552="","",IF(OR(ISNUMBER(SEARCH("狼",N552)),ISNUMBER(SEARCH("石像鬼",N552)),ISNUMBER(SEARCH("恶灵骑士",N552)),ISNUMBER(SEARCH("黑蝙蝠",N552)),ISNUMBER(SEARCH("血月使徒",N552))),"werewolves","villagers"))</f>
      </c>
      <c r="P552" s="0" t="inlineStr">
        <is>
          <t xml:space="preserve"/>
        </is>
      </c>
      <c r="Q552" s="0">
        <f>IF(P552="","",IF(ROUND(P552,2)=5,"win","loss"))</f>
      </c>
      <c r="R552" s="0" t="inlineStr">
        <is>
          <t xml:space="preserve"/>
        </is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>
        <f>IF(C553="","",IFERROR(LOOKUP(2,1/(($C$2:$C$1001=C553)*($Q$2:$Q$1001="win")),$O$2:$O$1001),""))</f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>
        <f>IF(N553="","",IF(OR(ISNUMBER(SEARCH("狼",N553)),ISNUMBER(SEARCH("石像鬼",N553)),ISNUMBER(SEARCH("恶灵骑士",N553)),ISNUMBER(SEARCH("黑蝙蝠",N553)),ISNUMBER(SEARCH("血月使徒",N553))),"werewolves","villagers"))</f>
      </c>
      <c r="P553" s="0" t="inlineStr">
        <is>
          <t xml:space="preserve"/>
        </is>
      </c>
      <c r="Q553" s="0">
        <f>IF(P553="","",IF(ROUND(P553,2)=5,"win","loss"))</f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>
        <f>IF(C554="","",IFERROR(LOOKUP(2,1/(($C$2:$C$1001=C554)*($Q$2:$Q$1001="win")),$O$2:$O$1001),""))</f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>
        <f>IF(N554="","",IF(OR(ISNUMBER(SEARCH("狼",N554)),ISNUMBER(SEARCH("石像鬼",N554)),ISNUMBER(SEARCH("恶灵骑士",N554)),ISNUMBER(SEARCH("黑蝙蝠",N554)),ISNUMBER(SEARCH("血月使徒",N554))),"werewolves","villagers"))</f>
      </c>
      <c r="P554" s="0" t="inlineStr">
        <is>
          <t xml:space="preserve"/>
        </is>
      </c>
      <c r="Q554" s="0">
        <f>IF(P554="","",IF(ROUND(P554,2)=5,"win","loss"))</f>
      </c>
      <c r="R554" s="0" t="inlineStr">
        <is>
          <t xml:space="preserve"/>
        </is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>
        <f>IF(C555="","",IFERROR(LOOKUP(2,1/(($C$2:$C$1001=C555)*($Q$2:$Q$1001="win")),$O$2:$O$1001),""))</f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>
        <f>IF(N555="","",IF(OR(ISNUMBER(SEARCH("狼",N555)),ISNUMBER(SEARCH("石像鬼",N555)),ISNUMBER(SEARCH("恶灵骑士",N555)),ISNUMBER(SEARCH("黑蝙蝠",N555)),ISNUMBER(SEARCH("血月使徒",N555))),"werewolves","villagers"))</f>
      </c>
      <c r="P555" s="0" t="inlineStr">
        <is>
          <t xml:space="preserve"/>
        </is>
      </c>
      <c r="Q555" s="0">
        <f>IF(P555="","",IF(ROUND(P555,2)=5,"win","loss"))</f>
      </c>
      <c r="R555" s="0" t="inlineStr">
        <is>
          <t xml:space="preserve"/>
        </is>
      </c>
      <c r="S555" s="0" t="inlineStr">
        <is>
          <t xml:space="preserve"/>
        </is>
      </c>
      <c r="T555" s="0" t="inlineStr">
        <is>
          <t xml:space="preserve"/>
        </is>
      </c>
      <c r="U555" s="0" t="inlineStr">
        <is>
          <t xml:space="preserve"/>
        </is>
      </c>
      <c r="V555" s="0" t="inlineStr">
        <is>
          <t xml:space="preserve"/>
        </is>
      </c>
      <c r="W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>
        <f>IF(C556="","",IFERROR(LOOKUP(2,1/(($C$2:$C$1001=C556)*($Q$2:$Q$1001="win")),$O$2:$O$1001),""))</f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>
        <f>IF(N556="","",IF(OR(ISNUMBER(SEARCH("狼",N556)),ISNUMBER(SEARCH("石像鬼",N556)),ISNUMBER(SEARCH("恶灵骑士",N556)),ISNUMBER(SEARCH("黑蝙蝠",N556)),ISNUMBER(SEARCH("血月使徒",N556))),"werewolves","villagers"))</f>
      </c>
      <c r="P556" s="0" t="inlineStr">
        <is>
          <t xml:space="preserve"/>
        </is>
      </c>
      <c r="Q556" s="0">
        <f>IF(P556="","",IF(ROUND(P556,2)=5,"win","loss"))</f>
      </c>
      <c r="R556" s="0" t="inlineStr">
        <is>
          <t xml:space="preserve"/>
        </is>
      </c>
      <c r="S556" s="0" t="inlineStr">
        <is>
          <t xml:space="preserve"/>
        </is>
      </c>
      <c r="T556" s="0" t="inlineStr">
        <is>
          <t xml:space="preserve"/>
        </is>
      </c>
      <c r="U556" s="0" t="inlineStr">
        <is>
          <t xml:space="preserve"/>
        </is>
      </c>
      <c r="V556" s="0" t="inlineStr">
        <is>
          <t xml:space="preserve"/>
        </is>
      </c>
      <c r="W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>
        <f>IF(C557="","",IFERROR(LOOKUP(2,1/(($C$2:$C$1001=C557)*($Q$2:$Q$1001="win")),$O$2:$O$1001),""))</f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>
        <f>IF(N557="","",IF(OR(ISNUMBER(SEARCH("狼",N557)),ISNUMBER(SEARCH("石像鬼",N557)),ISNUMBER(SEARCH("恶灵骑士",N557)),ISNUMBER(SEARCH("黑蝙蝠",N557)),ISNUMBER(SEARCH("血月使徒",N557))),"werewolves","villagers"))</f>
      </c>
      <c r="P557" s="0" t="inlineStr">
        <is>
          <t xml:space="preserve"/>
        </is>
      </c>
      <c r="Q557" s="0">
        <f>IF(P557="","",IF(ROUND(P557,2)=5,"win","loss"))</f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>
        <f>IF(C558="","",IFERROR(LOOKUP(2,1/(($C$2:$C$1001=C558)*($Q$2:$Q$1001="win")),$O$2:$O$1001),""))</f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>
        <f>IF(N558="","",IF(OR(ISNUMBER(SEARCH("狼",N558)),ISNUMBER(SEARCH("石像鬼",N558)),ISNUMBER(SEARCH("恶灵骑士",N558)),ISNUMBER(SEARCH("黑蝙蝠",N558)),ISNUMBER(SEARCH("血月使徒",N558))),"werewolves","villagers"))</f>
      </c>
      <c r="P558" s="0" t="inlineStr">
        <is>
          <t xml:space="preserve"/>
        </is>
      </c>
      <c r="Q558" s="0">
        <f>IF(P558="","",IF(ROUND(P558,2)=5,"win","loss"))</f>
      </c>
      <c r="R558" s="0" t="inlineStr">
        <is>
          <t xml:space="preserve"/>
        </is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>
        <f>IF(C559="","",IFERROR(LOOKUP(2,1/(($C$2:$C$1001=C559)*($Q$2:$Q$1001="win")),$O$2:$O$1001),""))</f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>
        <f>IF(N559="","",IF(OR(ISNUMBER(SEARCH("狼",N559)),ISNUMBER(SEARCH("石像鬼",N559)),ISNUMBER(SEARCH("恶灵骑士",N559)),ISNUMBER(SEARCH("黑蝙蝠",N559)),ISNUMBER(SEARCH("血月使徒",N559))),"werewolves","villagers"))</f>
      </c>
      <c r="P559" s="0" t="inlineStr">
        <is>
          <t xml:space="preserve"/>
        </is>
      </c>
      <c r="Q559" s="0">
        <f>IF(P559="","",IF(ROUND(P559,2)=5,"win","loss"))</f>
      </c>
      <c r="R559" s="0" t="inlineStr">
        <is>
          <t xml:space="preserve"/>
        </is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>
        <f>IF(C560="","",IFERROR(LOOKUP(2,1/(($C$2:$C$1001=C560)*($Q$2:$Q$1001="win")),$O$2:$O$1001),""))</f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>
        <f>IF(N560="","",IF(OR(ISNUMBER(SEARCH("狼",N560)),ISNUMBER(SEARCH("石像鬼",N560)),ISNUMBER(SEARCH("恶灵骑士",N560)),ISNUMBER(SEARCH("黑蝙蝠",N560)),ISNUMBER(SEARCH("血月使徒",N560))),"werewolves","villagers"))</f>
      </c>
      <c r="P560" s="0" t="inlineStr">
        <is>
          <t xml:space="preserve"/>
        </is>
      </c>
      <c r="Q560" s="0">
        <f>IF(P560="","",IF(ROUND(P560,2)=5,"win","loss"))</f>
      </c>
      <c r="R560" s="0" t="inlineStr">
        <is>
          <t xml:space="preserve"/>
        </is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>
        <f>IF(C561="","",IFERROR(LOOKUP(2,1/(($C$2:$C$1001=C561)*($Q$2:$Q$1001="win")),$O$2:$O$1001),""))</f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>
        <f>IF(N561="","",IF(OR(ISNUMBER(SEARCH("狼",N561)),ISNUMBER(SEARCH("石像鬼",N561)),ISNUMBER(SEARCH("恶灵骑士",N561)),ISNUMBER(SEARCH("黑蝙蝠",N561)),ISNUMBER(SEARCH("血月使徒",N561))),"werewolves","villagers"))</f>
      </c>
      <c r="P561" s="0" t="inlineStr">
        <is>
          <t xml:space="preserve"/>
        </is>
      </c>
      <c r="Q561" s="0">
        <f>IF(P561="","",IF(ROUND(P561,2)=5,"win","loss"))</f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>
        <f>IF(C562="","",IFERROR(LOOKUP(2,1/(($C$2:$C$1001=C562)*($Q$2:$Q$1001="win")),$O$2:$O$1001),""))</f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>
        <f>IF(N562="","",IF(OR(ISNUMBER(SEARCH("狼",N562)),ISNUMBER(SEARCH("石像鬼",N562)),ISNUMBER(SEARCH("恶灵骑士",N562)),ISNUMBER(SEARCH("黑蝙蝠",N562)),ISNUMBER(SEARCH("血月使徒",N562))),"werewolves","villagers"))</f>
      </c>
      <c r="P562" s="0" t="inlineStr">
        <is>
          <t xml:space="preserve"/>
        </is>
      </c>
      <c r="Q562" s="0">
        <f>IF(P562="","",IF(ROUND(P562,2)=5,"win","loss"))</f>
      </c>
      <c r="R562" s="0" t="inlineStr">
        <is>
          <t xml:space="preserve"/>
        </is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>
        <f>IF(C563="","",IFERROR(LOOKUP(2,1/(($C$2:$C$1001=C563)*($Q$2:$Q$1001="win")),$O$2:$O$1001),""))</f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>
        <f>IF(N563="","",IF(OR(ISNUMBER(SEARCH("狼",N563)),ISNUMBER(SEARCH("石像鬼",N563)),ISNUMBER(SEARCH("恶灵骑士",N563)),ISNUMBER(SEARCH("黑蝙蝠",N563)),ISNUMBER(SEARCH("血月使徒",N563))),"werewolves","villagers"))</f>
      </c>
      <c r="P563" s="0" t="inlineStr">
        <is>
          <t xml:space="preserve"/>
        </is>
      </c>
      <c r="Q563" s="0">
        <f>IF(P563="","",IF(ROUND(P563,2)=5,"win","loss"))</f>
      </c>
      <c r="R563" s="0" t="inlineStr">
        <is>
          <t xml:space="preserve"/>
        </is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>
        <f>IF(C564="","",IFERROR(LOOKUP(2,1/(($C$2:$C$1001=C564)*($Q$2:$Q$1001="win")),$O$2:$O$1001),""))</f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>
        <f>IF(N564="","",IF(OR(ISNUMBER(SEARCH("狼",N564)),ISNUMBER(SEARCH("石像鬼",N564)),ISNUMBER(SEARCH("恶灵骑士",N564)),ISNUMBER(SEARCH("黑蝙蝠",N564)),ISNUMBER(SEARCH("血月使徒",N564))),"werewolves","villagers"))</f>
      </c>
      <c r="P564" s="0" t="inlineStr">
        <is>
          <t xml:space="preserve"/>
        </is>
      </c>
      <c r="Q564" s="0">
        <f>IF(P564="","",IF(ROUND(P564,2)=5,"win","loss"))</f>
      </c>
      <c r="R564" s="0" t="inlineStr">
        <is>
          <t xml:space="preserve"/>
        </is>
      </c>
      <c r="S564" s="0" t="inlineStr">
        <is>
          <t xml:space="preserve"/>
        </is>
      </c>
      <c r="T564" s="0" t="inlineStr">
        <is>
          <t xml:space="preserve"/>
        </is>
      </c>
      <c r="U564" s="0" t="inlineStr">
        <is>
          <t xml:space="preserve"/>
        </is>
      </c>
      <c r="V564" s="0" t="inlineStr">
        <is>
          <t xml:space="preserve"/>
        </is>
      </c>
      <c r="W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>
        <f>IF(C565="","",IFERROR(LOOKUP(2,1/(($C$2:$C$1001=C565)*($Q$2:$Q$1001="win")),$O$2:$O$1001),""))</f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>
        <f>IF(N565="","",IF(OR(ISNUMBER(SEARCH("狼",N565)),ISNUMBER(SEARCH("石像鬼",N565)),ISNUMBER(SEARCH("恶灵骑士",N565)),ISNUMBER(SEARCH("黑蝙蝠",N565)),ISNUMBER(SEARCH("血月使徒",N565))),"werewolves","villagers"))</f>
      </c>
      <c r="P565" s="0" t="inlineStr">
        <is>
          <t xml:space="preserve"/>
        </is>
      </c>
      <c r="Q565" s="0">
        <f>IF(P565="","",IF(ROUND(P565,2)=5,"win","loss"))</f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>
        <f>IF(C566="","",IFERROR(LOOKUP(2,1/(($C$2:$C$1001=C566)*($Q$2:$Q$1001="win")),$O$2:$O$1001),""))</f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>
        <f>IF(N566="","",IF(OR(ISNUMBER(SEARCH("狼",N566)),ISNUMBER(SEARCH("石像鬼",N566)),ISNUMBER(SEARCH("恶灵骑士",N566)),ISNUMBER(SEARCH("黑蝙蝠",N566)),ISNUMBER(SEARCH("血月使徒",N566))),"werewolves","villagers"))</f>
      </c>
      <c r="P566" s="0" t="inlineStr">
        <is>
          <t xml:space="preserve"/>
        </is>
      </c>
      <c r="Q566" s="0">
        <f>IF(P566="","",IF(ROUND(P566,2)=5,"win","loss"))</f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>
        <f>IF(C567="","",IFERROR(LOOKUP(2,1/(($C$2:$C$1001=C567)*($Q$2:$Q$1001="win")),$O$2:$O$1001),""))</f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>
        <f>IF(N567="","",IF(OR(ISNUMBER(SEARCH("狼",N567)),ISNUMBER(SEARCH("石像鬼",N567)),ISNUMBER(SEARCH("恶灵骑士",N567)),ISNUMBER(SEARCH("黑蝙蝠",N567)),ISNUMBER(SEARCH("血月使徒",N567))),"werewolves","villagers"))</f>
      </c>
      <c r="P567" s="0" t="inlineStr">
        <is>
          <t xml:space="preserve"/>
        </is>
      </c>
      <c r="Q567" s="0">
        <f>IF(P567="","",IF(ROUND(P567,2)=5,"win","loss"))</f>
      </c>
      <c r="R567" s="0" t="inlineStr">
        <is>
          <t xml:space="preserve"/>
        </is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>
        <f>IF(C568="","",IFERROR(LOOKUP(2,1/(($C$2:$C$1001=C568)*($Q$2:$Q$1001="win")),$O$2:$O$1001),""))</f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>
        <f>IF(N568="","",IF(OR(ISNUMBER(SEARCH("狼",N568)),ISNUMBER(SEARCH("石像鬼",N568)),ISNUMBER(SEARCH("恶灵骑士",N568)),ISNUMBER(SEARCH("黑蝙蝠",N568)),ISNUMBER(SEARCH("血月使徒",N568))),"werewolves","villagers"))</f>
      </c>
      <c r="P568" s="0" t="inlineStr">
        <is>
          <t xml:space="preserve"/>
        </is>
      </c>
      <c r="Q568" s="0">
        <f>IF(P568="","",IF(ROUND(P568,2)=5,"win","loss"))</f>
      </c>
      <c r="R568" s="0" t="inlineStr">
        <is>
          <t xml:space="preserve"/>
        </is>
      </c>
      <c r="S568" s="0" t="inlineStr">
        <is>
          <t xml:space="preserve"/>
        </is>
      </c>
      <c r="T568" s="0" t="inlineStr">
        <is>
          <t xml:space="preserve"/>
        </is>
      </c>
      <c r="U568" s="0" t="inlineStr">
        <is>
          <t xml:space="preserve"/>
        </is>
      </c>
      <c r="V568" s="0" t="inlineStr">
        <is>
          <t xml:space="preserve"/>
        </is>
      </c>
      <c r="W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>
        <f>IF(C569="","",IFERROR(LOOKUP(2,1/(($C$2:$C$1001=C569)*($Q$2:$Q$1001="win")),$O$2:$O$1001),""))</f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>
        <f>IF(N569="","",IF(OR(ISNUMBER(SEARCH("狼",N569)),ISNUMBER(SEARCH("石像鬼",N569)),ISNUMBER(SEARCH("恶灵骑士",N569)),ISNUMBER(SEARCH("黑蝙蝠",N569)),ISNUMBER(SEARCH("血月使徒",N569))),"werewolves","villagers"))</f>
      </c>
      <c r="P569" s="0" t="inlineStr">
        <is>
          <t xml:space="preserve"/>
        </is>
      </c>
      <c r="Q569" s="0">
        <f>IF(P569="","",IF(ROUND(P569,2)=5,"win","loss"))</f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>
        <f>IF(C570="","",IFERROR(LOOKUP(2,1/(($C$2:$C$1001=C570)*($Q$2:$Q$1001="win")),$O$2:$O$1001),""))</f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>
        <f>IF(N570="","",IF(OR(ISNUMBER(SEARCH("狼",N570)),ISNUMBER(SEARCH("石像鬼",N570)),ISNUMBER(SEARCH("恶灵骑士",N570)),ISNUMBER(SEARCH("黑蝙蝠",N570)),ISNUMBER(SEARCH("血月使徒",N570))),"werewolves","villagers"))</f>
      </c>
      <c r="P570" s="0" t="inlineStr">
        <is>
          <t xml:space="preserve"/>
        </is>
      </c>
      <c r="Q570" s="0">
        <f>IF(P570="","",IF(ROUND(P570,2)=5,"win","loss"))</f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>
        <f>IF(C571="","",IFERROR(LOOKUP(2,1/(($C$2:$C$1001=C571)*($Q$2:$Q$1001="win")),$O$2:$O$1001),""))</f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>
        <f>IF(N571="","",IF(OR(ISNUMBER(SEARCH("狼",N571)),ISNUMBER(SEARCH("石像鬼",N571)),ISNUMBER(SEARCH("恶灵骑士",N571)),ISNUMBER(SEARCH("黑蝙蝠",N571)),ISNUMBER(SEARCH("血月使徒",N571))),"werewolves","villagers"))</f>
      </c>
      <c r="P571" s="0" t="inlineStr">
        <is>
          <t xml:space="preserve"/>
        </is>
      </c>
      <c r="Q571" s="0">
        <f>IF(P571="","",IF(ROUND(P571,2)=5,"win","loss"))</f>
      </c>
      <c r="R571" s="0" t="inlineStr">
        <is>
          <t xml:space="preserve"/>
        </is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>
        <f>IF(C572="","",IFERROR(LOOKUP(2,1/(($C$2:$C$1001=C572)*($Q$2:$Q$1001="win")),$O$2:$O$1001),""))</f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>
        <f>IF(N572="","",IF(OR(ISNUMBER(SEARCH("狼",N572)),ISNUMBER(SEARCH("石像鬼",N572)),ISNUMBER(SEARCH("恶灵骑士",N572)),ISNUMBER(SEARCH("黑蝙蝠",N572)),ISNUMBER(SEARCH("血月使徒",N572))),"werewolves","villagers"))</f>
      </c>
      <c r="P572" s="0" t="inlineStr">
        <is>
          <t xml:space="preserve"/>
        </is>
      </c>
      <c r="Q572" s="0">
        <f>IF(P572="","",IF(ROUND(P572,2)=5,"win","loss"))</f>
      </c>
      <c r="R572" s="0" t="inlineStr">
        <is>
          <t xml:space="preserve"/>
        </is>
      </c>
      <c r="S572" s="0" t="inlineStr">
        <is>
          <t xml:space="preserve"/>
        </is>
      </c>
      <c r="T572" s="0" t="inlineStr">
        <is>
          <t xml:space="preserve"/>
        </is>
      </c>
      <c r="U572" s="0" t="inlineStr">
        <is>
          <t xml:space="preserve"/>
        </is>
      </c>
      <c r="V572" s="0" t="inlineStr">
        <is>
          <t xml:space="preserve"/>
        </is>
      </c>
      <c r="W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>
        <f>IF(C573="","",IFERROR(LOOKUP(2,1/(($C$2:$C$1001=C573)*($Q$2:$Q$1001="win")),$O$2:$O$1001),""))</f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>
        <f>IF(N573="","",IF(OR(ISNUMBER(SEARCH("狼",N573)),ISNUMBER(SEARCH("石像鬼",N573)),ISNUMBER(SEARCH("恶灵骑士",N573)),ISNUMBER(SEARCH("黑蝙蝠",N573)),ISNUMBER(SEARCH("血月使徒",N573))),"werewolves","villagers"))</f>
      </c>
      <c r="P573" s="0" t="inlineStr">
        <is>
          <t xml:space="preserve"/>
        </is>
      </c>
      <c r="Q573" s="0">
        <f>IF(P573="","",IF(ROUND(P573,2)=5,"win","loss"))</f>
      </c>
      <c r="R573" s="0" t="inlineStr">
        <is>
          <t xml:space="preserve"/>
        </is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>
        <f>IF(C574="","",IFERROR(LOOKUP(2,1/(($C$2:$C$1001=C574)*($Q$2:$Q$1001="win")),$O$2:$O$1001),""))</f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>
        <f>IF(N574="","",IF(OR(ISNUMBER(SEARCH("狼",N574)),ISNUMBER(SEARCH("石像鬼",N574)),ISNUMBER(SEARCH("恶灵骑士",N574)),ISNUMBER(SEARCH("黑蝙蝠",N574)),ISNUMBER(SEARCH("血月使徒",N574))),"werewolves","villagers"))</f>
      </c>
      <c r="P574" s="0" t="inlineStr">
        <is>
          <t xml:space="preserve"/>
        </is>
      </c>
      <c r="Q574" s="0">
        <f>IF(P574="","",IF(ROUND(P574,2)=5,"win","loss"))</f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>
        <f>IF(C575="","",IFERROR(LOOKUP(2,1/(($C$2:$C$1001=C575)*($Q$2:$Q$1001="win")),$O$2:$O$1001),""))</f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>
        <f>IF(N575="","",IF(OR(ISNUMBER(SEARCH("狼",N575)),ISNUMBER(SEARCH("石像鬼",N575)),ISNUMBER(SEARCH("恶灵骑士",N575)),ISNUMBER(SEARCH("黑蝙蝠",N575)),ISNUMBER(SEARCH("血月使徒",N575))),"werewolves","villagers"))</f>
      </c>
      <c r="P575" s="0" t="inlineStr">
        <is>
          <t xml:space="preserve"/>
        </is>
      </c>
      <c r="Q575" s="0">
        <f>IF(P575="","",IF(ROUND(P575,2)=5,"win","loss"))</f>
      </c>
      <c r="R575" s="0" t="inlineStr">
        <is>
          <t xml:space="preserve"/>
        </is>
      </c>
      <c r="S575" s="0" t="inlineStr">
        <is>
          <t xml:space="preserve"/>
        </is>
      </c>
      <c r="T575" s="0" t="inlineStr">
        <is>
          <t xml:space="preserve"/>
        </is>
      </c>
      <c r="U575" s="0" t="inlineStr">
        <is>
          <t xml:space="preserve"/>
        </is>
      </c>
      <c r="V575" s="0" t="inlineStr">
        <is>
          <t xml:space="preserve"/>
        </is>
      </c>
      <c r="W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>
        <f>IF(C576="","",IFERROR(LOOKUP(2,1/(($C$2:$C$1001=C576)*($Q$2:$Q$1001="win")),$O$2:$O$1001),""))</f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>
        <f>IF(N576="","",IF(OR(ISNUMBER(SEARCH("狼",N576)),ISNUMBER(SEARCH("石像鬼",N576)),ISNUMBER(SEARCH("恶灵骑士",N576)),ISNUMBER(SEARCH("黑蝙蝠",N576)),ISNUMBER(SEARCH("血月使徒",N576))),"werewolves","villagers"))</f>
      </c>
      <c r="P576" s="0" t="inlineStr">
        <is>
          <t xml:space="preserve"/>
        </is>
      </c>
      <c r="Q576" s="0">
        <f>IF(P576="","",IF(ROUND(P576,2)=5,"win","loss"))</f>
      </c>
      <c r="R576" s="0" t="inlineStr">
        <is>
          <t xml:space="preserve"/>
        </is>
      </c>
      <c r="S576" s="0" t="inlineStr">
        <is>
          <t xml:space="preserve"/>
        </is>
      </c>
      <c r="T576" s="0" t="inlineStr">
        <is>
          <t xml:space="preserve"/>
        </is>
      </c>
      <c r="U576" s="0" t="inlineStr">
        <is>
          <t xml:space="preserve"/>
        </is>
      </c>
      <c r="V576" s="0" t="inlineStr">
        <is>
          <t xml:space="preserve"/>
        </is>
      </c>
      <c r="W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>
        <f>IF(C577="","",IFERROR(LOOKUP(2,1/(($C$2:$C$1001=C577)*($Q$2:$Q$1001="win")),$O$2:$O$1001),""))</f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>
        <f>IF(N577="","",IF(OR(ISNUMBER(SEARCH("狼",N577)),ISNUMBER(SEARCH("石像鬼",N577)),ISNUMBER(SEARCH("恶灵骑士",N577)),ISNUMBER(SEARCH("黑蝙蝠",N577)),ISNUMBER(SEARCH("血月使徒",N577))),"werewolves","villagers"))</f>
      </c>
      <c r="P577" s="0" t="inlineStr">
        <is>
          <t xml:space="preserve"/>
        </is>
      </c>
      <c r="Q577" s="0">
        <f>IF(P577="","",IF(ROUND(P577,2)=5,"win","loss"))</f>
      </c>
      <c r="R577" s="0" t="inlineStr">
        <is>
          <t xml:space="preserve"/>
        </is>
      </c>
      <c r="S577" s="0" t="inlineStr">
        <is>
          <t xml:space="preserve"/>
        </is>
      </c>
      <c r="T577" s="0" t="inlineStr">
        <is>
          <t xml:space="preserve"/>
        </is>
      </c>
      <c r="U577" s="0" t="inlineStr">
        <is>
          <t xml:space="preserve"/>
        </is>
      </c>
      <c r="V577" s="0" t="inlineStr">
        <is>
          <t xml:space="preserve"/>
        </is>
      </c>
      <c r="W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>
        <f>IF(C578="","",IFERROR(LOOKUP(2,1/(($C$2:$C$1001=C578)*($Q$2:$Q$1001="win")),$O$2:$O$1001),""))</f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>
        <f>IF(N578="","",IF(OR(ISNUMBER(SEARCH("狼",N578)),ISNUMBER(SEARCH("石像鬼",N578)),ISNUMBER(SEARCH("恶灵骑士",N578)),ISNUMBER(SEARCH("黑蝙蝠",N578)),ISNUMBER(SEARCH("血月使徒",N578))),"werewolves","villagers"))</f>
      </c>
      <c r="P578" s="0" t="inlineStr">
        <is>
          <t xml:space="preserve"/>
        </is>
      </c>
      <c r="Q578" s="0">
        <f>IF(P578="","",IF(ROUND(P578,2)=5,"win","loss"))</f>
      </c>
      <c r="R578" s="0" t="inlineStr">
        <is>
          <t xml:space="preserve"/>
        </is>
      </c>
      <c r="S578" s="0" t="inlineStr">
        <is>
          <t xml:space="preserve"/>
        </is>
      </c>
      <c r="T578" s="0" t="inlineStr">
        <is>
          <t xml:space="preserve"/>
        </is>
      </c>
      <c r="U578" s="0" t="inlineStr">
        <is>
          <t xml:space="preserve"/>
        </is>
      </c>
      <c r="V578" s="0" t="inlineStr">
        <is>
          <t xml:space="preserve"/>
        </is>
      </c>
      <c r="W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>
        <f>IF(C579="","",IFERROR(LOOKUP(2,1/(($C$2:$C$1001=C579)*($Q$2:$Q$1001="win")),$O$2:$O$1001),""))</f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>
        <f>IF(N579="","",IF(OR(ISNUMBER(SEARCH("狼",N579)),ISNUMBER(SEARCH("石像鬼",N579)),ISNUMBER(SEARCH("恶灵骑士",N579)),ISNUMBER(SEARCH("黑蝙蝠",N579)),ISNUMBER(SEARCH("血月使徒",N579))),"werewolves","villagers"))</f>
      </c>
      <c r="P579" s="0" t="inlineStr">
        <is>
          <t xml:space="preserve"/>
        </is>
      </c>
      <c r="Q579" s="0">
        <f>IF(P579="","",IF(ROUND(P579,2)=5,"win","loss"))</f>
      </c>
      <c r="R579" s="0" t="inlineStr">
        <is>
          <t xml:space="preserve"/>
        </is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>
        <f>IF(C580="","",IFERROR(LOOKUP(2,1/(($C$2:$C$1001=C580)*($Q$2:$Q$1001="win")),$O$2:$O$1001),""))</f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>
        <f>IF(N580="","",IF(OR(ISNUMBER(SEARCH("狼",N580)),ISNUMBER(SEARCH("石像鬼",N580)),ISNUMBER(SEARCH("恶灵骑士",N580)),ISNUMBER(SEARCH("黑蝙蝠",N580)),ISNUMBER(SEARCH("血月使徒",N580))),"werewolves","villagers"))</f>
      </c>
      <c r="P580" s="0" t="inlineStr">
        <is>
          <t xml:space="preserve"/>
        </is>
      </c>
      <c r="Q580" s="0">
        <f>IF(P580="","",IF(ROUND(P580,2)=5,"win","loss"))</f>
      </c>
      <c r="R580" s="0" t="inlineStr">
        <is>
          <t xml:space="preserve"/>
        </is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>
        <f>IF(C581="","",IFERROR(LOOKUP(2,1/(($C$2:$C$1001=C581)*($Q$2:$Q$1001="win")),$O$2:$O$1001),""))</f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>
        <f>IF(N581="","",IF(OR(ISNUMBER(SEARCH("狼",N581)),ISNUMBER(SEARCH("石像鬼",N581)),ISNUMBER(SEARCH("恶灵骑士",N581)),ISNUMBER(SEARCH("黑蝙蝠",N581)),ISNUMBER(SEARCH("血月使徒",N581))),"werewolves","villagers"))</f>
      </c>
      <c r="P581" s="0" t="inlineStr">
        <is>
          <t xml:space="preserve"/>
        </is>
      </c>
      <c r="Q581" s="0">
        <f>IF(P581="","",IF(ROUND(P581,2)=5,"win","loss"))</f>
      </c>
      <c r="R581" s="0" t="inlineStr">
        <is>
          <t xml:space="preserve"/>
        </is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>
        <f>IF(C582="","",IFERROR(LOOKUP(2,1/(($C$2:$C$1001=C582)*($Q$2:$Q$1001="win")),$O$2:$O$1001),""))</f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>
        <f>IF(N582="","",IF(OR(ISNUMBER(SEARCH("狼",N582)),ISNUMBER(SEARCH("石像鬼",N582)),ISNUMBER(SEARCH("恶灵骑士",N582)),ISNUMBER(SEARCH("黑蝙蝠",N582)),ISNUMBER(SEARCH("血月使徒",N582))),"werewolves","villagers"))</f>
      </c>
      <c r="P582" s="0" t="inlineStr">
        <is>
          <t xml:space="preserve"/>
        </is>
      </c>
      <c r="Q582" s="0">
        <f>IF(P582="","",IF(ROUND(P582,2)=5,"win","loss"))</f>
      </c>
      <c r="R582" s="0" t="inlineStr">
        <is>
          <t xml:space="preserve"/>
        </is>
      </c>
      <c r="S582" s="0" t="inlineStr">
        <is>
          <t xml:space="preserve"/>
        </is>
      </c>
      <c r="T582" s="0" t="inlineStr">
        <is>
          <t xml:space="preserve"/>
        </is>
      </c>
      <c r="U582" s="0" t="inlineStr">
        <is>
          <t xml:space="preserve"/>
        </is>
      </c>
      <c r="V582" s="0" t="inlineStr">
        <is>
          <t xml:space="preserve"/>
        </is>
      </c>
      <c r="W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>
        <f>IF(C583="","",IFERROR(LOOKUP(2,1/(($C$2:$C$1001=C583)*($Q$2:$Q$1001="win")),$O$2:$O$1001),""))</f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>
        <f>IF(N583="","",IF(OR(ISNUMBER(SEARCH("狼",N583)),ISNUMBER(SEARCH("石像鬼",N583)),ISNUMBER(SEARCH("恶灵骑士",N583)),ISNUMBER(SEARCH("黑蝙蝠",N583)),ISNUMBER(SEARCH("血月使徒",N583))),"werewolves","villagers"))</f>
      </c>
      <c r="P583" s="0" t="inlineStr">
        <is>
          <t xml:space="preserve"/>
        </is>
      </c>
      <c r="Q583" s="0">
        <f>IF(P583="","",IF(ROUND(P583,2)=5,"win","loss"))</f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>
        <f>IF(C584="","",IFERROR(LOOKUP(2,1/(($C$2:$C$1001=C584)*($Q$2:$Q$1001="win")),$O$2:$O$1001),""))</f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>
        <f>IF(N584="","",IF(OR(ISNUMBER(SEARCH("狼",N584)),ISNUMBER(SEARCH("石像鬼",N584)),ISNUMBER(SEARCH("恶灵骑士",N584)),ISNUMBER(SEARCH("黑蝙蝠",N584)),ISNUMBER(SEARCH("血月使徒",N584))),"werewolves","villagers"))</f>
      </c>
      <c r="P584" s="0" t="inlineStr">
        <is>
          <t xml:space="preserve"/>
        </is>
      </c>
      <c r="Q584" s="0">
        <f>IF(P584="","",IF(ROUND(P584,2)=5,"win","loss"))</f>
      </c>
      <c r="R584" s="0" t="inlineStr">
        <is>
          <t xml:space="preserve"/>
        </is>
      </c>
      <c r="S584" s="0" t="inlineStr">
        <is>
          <t xml:space="preserve"/>
        </is>
      </c>
      <c r="T584" s="0" t="inlineStr">
        <is>
          <t xml:space="preserve"/>
        </is>
      </c>
      <c r="U584" s="0" t="inlineStr">
        <is>
          <t xml:space="preserve"/>
        </is>
      </c>
      <c r="V584" s="0" t="inlineStr">
        <is>
          <t xml:space="preserve"/>
        </is>
      </c>
      <c r="W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>
        <f>IF(C585="","",IFERROR(LOOKUP(2,1/(($C$2:$C$1001=C585)*($Q$2:$Q$1001="win")),$O$2:$O$1001),""))</f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>
        <f>IF(N585="","",IF(OR(ISNUMBER(SEARCH("狼",N585)),ISNUMBER(SEARCH("石像鬼",N585)),ISNUMBER(SEARCH("恶灵骑士",N585)),ISNUMBER(SEARCH("黑蝙蝠",N585)),ISNUMBER(SEARCH("血月使徒",N585))),"werewolves","villagers"))</f>
      </c>
      <c r="P585" s="0" t="inlineStr">
        <is>
          <t xml:space="preserve"/>
        </is>
      </c>
      <c r="Q585" s="0">
        <f>IF(P585="","",IF(ROUND(P585,2)=5,"win","loss"))</f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>
        <f>IF(C586="","",IFERROR(LOOKUP(2,1/(($C$2:$C$1001=C586)*($Q$2:$Q$1001="win")),$O$2:$O$1001),""))</f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>
        <f>IF(N586="","",IF(OR(ISNUMBER(SEARCH("狼",N586)),ISNUMBER(SEARCH("石像鬼",N586)),ISNUMBER(SEARCH("恶灵骑士",N586)),ISNUMBER(SEARCH("黑蝙蝠",N586)),ISNUMBER(SEARCH("血月使徒",N586))),"werewolves","villagers"))</f>
      </c>
      <c r="P586" s="0" t="inlineStr">
        <is>
          <t xml:space="preserve"/>
        </is>
      </c>
      <c r="Q586" s="0">
        <f>IF(P586="","",IF(ROUND(P586,2)=5,"win","loss"))</f>
      </c>
      <c r="R586" s="0" t="inlineStr">
        <is>
          <t xml:space="preserve"/>
        </is>
      </c>
      <c r="S586" s="0" t="inlineStr">
        <is>
          <t xml:space="preserve"/>
        </is>
      </c>
      <c r="T586" s="0" t="inlineStr">
        <is>
          <t xml:space="preserve"/>
        </is>
      </c>
      <c r="U586" s="0" t="inlineStr">
        <is>
          <t xml:space="preserve"/>
        </is>
      </c>
      <c r="V586" s="0" t="inlineStr">
        <is>
          <t xml:space="preserve"/>
        </is>
      </c>
      <c r="W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>
        <f>IF(C587="","",IFERROR(LOOKUP(2,1/(($C$2:$C$1001=C587)*($Q$2:$Q$1001="win")),$O$2:$O$1001),""))</f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>
        <f>IF(N587="","",IF(OR(ISNUMBER(SEARCH("狼",N587)),ISNUMBER(SEARCH("石像鬼",N587)),ISNUMBER(SEARCH("恶灵骑士",N587)),ISNUMBER(SEARCH("黑蝙蝠",N587)),ISNUMBER(SEARCH("血月使徒",N587))),"werewolves","villagers"))</f>
      </c>
      <c r="P587" s="0" t="inlineStr">
        <is>
          <t xml:space="preserve"/>
        </is>
      </c>
      <c r="Q587" s="0">
        <f>IF(P587="","",IF(ROUND(P587,2)=5,"win","loss"))</f>
      </c>
      <c r="R587" s="0" t="inlineStr">
        <is>
          <t xml:space="preserve"/>
        </is>
      </c>
      <c r="S587" s="0" t="inlineStr">
        <is>
          <t xml:space="preserve"/>
        </is>
      </c>
      <c r="T587" s="0" t="inlineStr">
        <is>
          <t xml:space="preserve"/>
        </is>
      </c>
      <c r="U587" s="0" t="inlineStr">
        <is>
          <t xml:space="preserve"/>
        </is>
      </c>
      <c r="V587" s="0" t="inlineStr">
        <is>
          <t xml:space="preserve"/>
        </is>
      </c>
      <c r="W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>
        <f>IF(C588="","",IFERROR(LOOKUP(2,1/(($C$2:$C$1001=C588)*($Q$2:$Q$1001="win")),$O$2:$O$1001),""))</f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>
        <f>IF(N588="","",IF(OR(ISNUMBER(SEARCH("狼",N588)),ISNUMBER(SEARCH("石像鬼",N588)),ISNUMBER(SEARCH("恶灵骑士",N588)),ISNUMBER(SEARCH("黑蝙蝠",N588)),ISNUMBER(SEARCH("血月使徒",N588))),"werewolves","villagers"))</f>
      </c>
      <c r="P588" s="0" t="inlineStr">
        <is>
          <t xml:space="preserve"/>
        </is>
      </c>
      <c r="Q588" s="0">
        <f>IF(P588="","",IF(ROUND(P588,2)=5,"win","loss"))</f>
      </c>
      <c r="R588" s="0" t="inlineStr">
        <is>
          <t xml:space="preserve"/>
        </is>
      </c>
      <c r="S588" s="0" t="inlineStr">
        <is>
          <t xml:space="preserve"/>
        </is>
      </c>
      <c r="T588" s="0" t="inlineStr">
        <is>
          <t xml:space="preserve"/>
        </is>
      </c>
      <c r="U588" s="0" t="inlineStr">
        <is>
          <t xml:space="preserve"/>
        </is>
      </c>
      <c r="V588" s="0" t="inlineStr">
        <is>
          <t xml:space="preserve"/>
        </is>
      </c>
      <c r="W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>
        <f>IF(C589="","",IFERROR(LOOKUP(2,1/(($C$2:$C$1001=C589)*($Q$2:$Q$1001="win")),$O$2:$O$1001),""))</f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>
        <f>IF(N589="","",IF(OR(ISNUMBER(SEARCH("狼",N589)),ISNUMBER(SEARCH("石像鬼",N589)),ISNUMBER(SEARCH("恶灵骑士",N589)),ISNUMBER(SEARCH("黑蝙蝠",N589)),ISNUMBER(SEARCH("血月使徒",N589))),"werewolves","villagers"))</f>
      </c>
      <c r="P589" s="0" t="inlineStr">
        <is>
          <t xml:space="preserve"/>
        </is>
      </c>
      <c r="Q589" s="0">
        <f>IF(P589="","",IF(ROUND(P589,2)=5,"win","loss"))</f>
      </c>
      <c r="R589" s="0" t="inlineStr">
        <is>
          <t xml:space="preserve"/>
        </is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>
        <f>IF(C590="","",IFERROR(LOOKUP(2,1/(($C$2:$C$1001=C590)*($Q$2:$Q$1001="win")),$O$2:$O$1001),""))</f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>
        <f>IF(N590="","",IF(OR(ISNUMBER(SEARCH("狼",N590)),ISNUMBER(SEARCH("石像鬼",N590)),ISNUMBER(SEARCH("恶灵骑士",N590)),ISNUMBER(SEARCH("黑蝙蝠",N590)),ISNUMBER(SEARCH("血月使徒",N590))),"werewolves","villagers"))</f>
      </c>
      <c r="P590" s="0" t="inlineStr">
        <is>
          <t xml:space="preserve"/>
        </is>
      </c>
      <c r="Q590" s="0">
        <f>IF(P590="","",IF(ROUND(P590,2)=5,"win","loss"))</f>
      </c>
      <c r="R590" s="0" t="inlineStr">
        <is>
          <t xml:space="preserve"/>
        </is>
      </c>
      <c r="S590" s="0" t="inlineStr">
        <is>
          <t xml:space="preserve"/>
        </is>
      </c>
      <c r="T590" s="0" t="inlineStr">
        <is>
          <t xml:space="preserve"/>
        </is>
      </c>
      <c r="U590" s="0" t="inlineStr">
        <is>
          <t xml:space="preserve"/>
        </is>
      </c>
      <c r="V590" s="0" t="inlineStr">
        <is>
          <t xml:space="preserve"/>
        </is>
      </c>
      <c r="W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>
        <f>IF(C591="","",IFERROR(LOOKUP(2,1/(($C$2:$C$1001=C591)*($Q$2:$Q$1001="win")),$O$2:$O$1001),""))</f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>
        <f>IF(N591="","",IF(OR(ISNUMBER(SEARCH("狼",N591)),ISNUMBER(SEARCH("石像鬼",N591)),ISNUMBER(SEARCH("恶灵骑士",N591)),ISNUMBER(SEARCH("黑蝙蝠",N591)),ISNUMBER(SEARCH("血月使徒",N591))),"werewolves","villagers"))</f>
      </c>
      <c r="P591" s="0" t="inlineStr">
        <is>
          <t xml:space="preserve"/>
        </is>
      </c>
      <c r="Q591" s="0">
        <f>IF(P591="","",IF(ROUND(P591,2)=5,"win","loss"))</f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>
        <f>IF(C592="","",IFERROR(LOOKUP(2,1/(($C$2:$C$1001=C592)*($Q$2:$Q$1001="win")),$O$2:$O$1001),""))</f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>
        <f>IF(N592="","",IF(OR(ISNUMBER(SEARCH("狼",N592)),ISNUMBER(SEARCH("石像鬼",N592)),ISNUMBER(SEARCH("恶灵骑士",N592)),ISNUMBER(SEARCH("黑蝙蝠",N592)),ISNUMBER(SEARCH("血月使徒",N592))),"werewolves","villagers"))</f>
      </c>
      <c r="P592" s="0" t="inlineStr">
        <is>
          <t xml:space="preserve"/>
        </is>
      </c>
      <c r="Q592" s="0">
        <f>IF(P592="","",IF(ROUND(P592,2)=5,"win","loss"))</f>
      </c>
      <c r="R592" s="0" t="inlineStr">
        <is>
          <t xml:space="preserve"/>
        </is>
      </c>
      <c r="S592" s="0" t="inlineStr">
        <is>
          <t xml:space="preserve"/>
        </is>
      </c>
      <c r="T592" s="0" t="inlineStr">
        <is>
          <t xml:space="preserve"/>
        </is>
      </c>
      <c r="U592" s="0" t="inlineStr">
        <is>
          <t xml:space="preserve"/>
        </is>
      </c>
      <c r="V592" s="0" t="inlineStr">
        <is>
          <t xml:space="preserve"/>
        </is>
      </c>
      <c r="W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>
        <f>IF(C593="","",IFERROR(LOOKUP(2,1/(($C$2:$C$1001=C593)*($Q$2:$Q$1001="win")),$O$2:$O$1001),""))</f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>
        <f>IF(N593="","",IF(OR(ISNUMBER(SEARCH("狼",N593)),ISNUMBER(SEARCH("石像鬼",N593)),ISNUMBER(SEARCH("恶灵骑士",N593)),ISNUMBER(SEARCH("黑蝙蝠",N593)),ISNUMBER(SEARCH("血月使徒",N593))),"werewolves","villagers"))</f>
      </c>
      <c r="P593" s="0" t="inlineStr">
        <is>
          <t xml:space="preserve"/>
        </is>
      </c>
      <c r="Q593" s="0">
        <f>IF(P593="","",IF(ROUND(P593,2)=5,"win","loss"))</f>
      </c>
      <c r="R593" s="0" t="inlineStr">
        <is>
          <t xml:space="preserve"/>
        </is>
      </c>
      <c r="S593" s="0" t="inlineStr">
        <is>
          <t xml:space="preserve"/>
        </is>
      </c>
      <c r="T593" s="0" t="inlineStr">
        <is>
          <t xml:space="preserve"/>
        </is>
      </c>
      <c r="U593" s="0" t="inlineStr">
        <is>
          <t xml:space="preserve"/>
        </is>
      </c>
      <c r="V593" s="0" t="inlineStr">
        <is>
          <t xml:space="preserve"/>
        </is>
      </c>
      <c r="W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>
        <f>IF(C594="","",IFERROR(LOOKUP(2,1/(($C$2:$C$1001=C594)*($Q$2:$Q$1001="win")),$O$2:$O$1001),""))</f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>
        <f>IF(N594="","",IF(OR(ISNUMBER(SEARCH("狼",N594)),ISNUMBER(SEARCH("石像鬼",N594)),ISNUMBER(SEARCH("恶灵骑士",N594)),ISNUMBER(SEARCH("黑蝙蝠",N594)),ISNUMBER(SEARCH("血月使徒",N594))),"werewolves","villagers"))</f>
      </c>
      <c r="P594" s="0" t="inlineStr">
        <is>
          <t xml:space="preserve"/>
        </is>
      </c>
      <c r="Q594" s="0">
        <f>IF(P594="","",IF(ROUND(P594,2)=5,"win","loss"))</f>
      </c>
      <c r="R594" s="0" t="inlineStr">
        <is>
          <t xml:space="preserve"/>
        </is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>
        <f>IF(C595="","",IFERROR(LOOKUP(2,1/(($C$2:$C$1001=C595)*($Q$2:$Q$1001="win")),$O$2:$O$1001),""))</f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>
        <f>IF(N595="","",IF(OR(ISNUMBER(SEARCH("狼",N595)),ISNUMBER(SEARCH("石像鬼",N595)),ISNUMBER(SEARCH("恶灵骑士",N595)),ISNUMBER(SEARCH("黑蝙蝠",N595)),ISNUMBER(SEARCH("血月使徒",N595))),"werewolves","villagers"))</f>
      </c>
      <c r="P595" s="0" t="inlineStr">
        <is>
          <t xml:space="preserve"/>
        </is>
      </c>
      <c r="Q595" s="0">
        <f>IF(P595="","",IF(ROUND(P595,2)=5,"win","loss"))</f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>
        <f>IF(C596="","",IFERROR(LOOKUP(2,1/(($C$2:$C$1001=C596)*($Q$2:$Q$1001="win")),$O$2:$O$1001),""))</f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>
        <f>IF(N596="","",IF(OR(ISNUMBER(SEARCH("狼",N596)),ISNUMBER(SEARCH("石像鬼",N596)),ISNUMBER(SEARCH("恶灵骑士",N596)),ISNUMBER(SEARCH("黑蝙蝠",N596)),ISNUMBER(SEARCH("血月使徒",N596))),"werewolves","villagers"))</f>
      </c>
      <c r="P596" s="0" t="inlineStr">
        <is>
          <t xml:space="preserve"/>
        </is>
      </c>
      <c r="Q596" s="0">
        <f>IF(P596="","",IF(ROUND(P596,2)=5,"win","loss"))</f>
      </c>
      <c r="R596" s="0" t="inlineStr">
        <is>
          <t xml:space="preserve"/>
        </is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>
        <f>IF(C597="","",IFERROR(LOOKUP(2,1/(($C$2:$C$1001=C597)*($Q$2:$Q$1001="win")),$O$2:$O$1001),""))</f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>
        <f>IF(N597="","",IF(OR(ISNUMBER(SEARCH("狼",N597)),ISNUMBER(SEARCH("石像鬼",N597)),ISNUMBER(SEARCH("恶灵骑士",N597)),ISNUMBER(SEARCH("黑蝙蝠",N597)),ISNUMBER(SEARCH("血月使徒",N597))),"werewolves","villagers"))</f>
      </c>
      <c r="P597" s="0" t="inlineStr">
        <is>
          <t xml:space="preserve"/>
        </is>
      </c>
      <c r="Q597" s="0">
        <f>IF(P597="","",IF(ROUND(P597,2)=5,"win","loss"))</f>
      </c>
      <c r="R597" s="0" t="inlineStr">
        <is>
          <t xml:space="preserve"/>
        </is>
      </c>
      <c r="S597" s="0" t="inlineStr">
        <is>
          <t xml:space="preserve"/>
        </is>
      </c>
      <c r="T597" s="0" t="inlineStr">
        <is>
          <t xml:space="preserve"/>
        </is>
      </c>
      <c r="U597" s="0" t="inlineStr">
        <is>
          <t xml:space="preserve"/>
        </is>
      </c>
      <c r="V597" s="0" t="inlineStr">
        <is>
          <t xml:space="preserve"/>
        </is>
      </c>
      <c r="W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>
        <f>IF(C598="","",IFERROR(LOOKUP(2,1/(($C$2:$C$1001=C598)*($Q$2:$Q$1001="win")),$O$2:$O$1001),""))</f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>
        <f>IF(N598="","",IF(OR(ISNUMBER(SEARCH("狼",N598)),ISNUMBER(SEARCH("石像鬼",N598)),ISNUMBER(SEARCH("恶灵骑士",N598)),ISNUMBER(SEARCH("黑蝙蝠",N598)),ISNUMBER(SEARCH("血月使徒",N598))),"werewolves","villagers"))</f>
      </c>
      <c r="P598" s="0" t="inlineStr">
        <is>
          <t xml:space="preserve"/>
        </is>
      </c>
      <c r="Q598" s="0">
        <f>IF(P598="","",IF(ROUND(P598,2)=5,"win","loss"))</f>
      </c>
      <c r="R598" s="0" t="inlineStr">
        <is>
          <t xml:space="preserve"/>
        </is>
      </c>
      <c r="S598" s="0" t="inlineStr">
        <is>
          <t xml:space="preserve"/>
        </is>
      </c>
      <c r="T598" s="0" t="inlineStr">
        <is>
          <t xml:space="preserve"/>
        </is>
      </c>
      <c r="U598" s="0" t="inlineStr">
        <is>
          <t xml:space="preserve"/>
        </is>
      </c>
      <c r="V598" s="0" t="inlineStr">
        <is>
          <t xml:space="preserve"/>
        </is>
      </c>
      <c r="W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>
        <f>IF(C599="","",IFERROR(LOOKUP(2,1/(($C$2:$C$1001=C599)*($Q$2:$Q$1001="win")),$O$2:$O$1001),""))</f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>
        <f>IF(N599="","",IF(OR(ISNUMBER(SEARCH("狼",N599)),ISNUMBER(SEARCH("石像鬼",N599)),ISNUMBER(SEARCH("恶灵骑士",N599)),ISNUMBER(SEARCH("黑蝙蝠",N599)),ISNUMBER(SEARCH("血月使徒",N599))),"werewolves","villagers"))</f>
      </c>
      <c r="P599" s="0" t="inlineStr">
        <is>
          <t xml:space="preserve"/>
        </is>
      </c>
      <c r="Q599" s="0">
        <f>IF(P599="","",IF(ROUND(P599,2)=5,"win","loss"))</f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>
        <f>IF(C600="","",IFERROR(LOOKUP(2,1/(($C$2:$C$1001=C600)*($Q$2:$Q$1001="win")),$O$2:$O$1001),""))</f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>
        <f>IF(N600="","",IF(OR(ISNUMBER(SEARCH("狼",N600)),ISNUMBER(SEARCH("石像鬼",N600)),ISNUMBER(SEARCH("恶灵骑士",N600)),ISNUMBER(SEARCH("黑蝙蝠",N600)),ISNUMBER(SEARCH("血月使徒",N600))),"werewolves","villagers"))</f>
      </c>
      <c r="P600" s="0" t="inlineStr">
        <is>
          <t xml:space="preserve"/>
        </is>
      </c>
      <c r="Q600" s="0">
        <f>IF(P600="","",IF(ROUND(P600,2)=5,"win","loss"))</f>
      </c>
      <c r="R600" s="0" t="inlineStr">
        <is>
          <t xml:space="preserve"/>
        </is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>
        <f>IF(C601="","",IFERROR(LOOKUP(2,1/(($C$2:$C$1001=C601)*($Q$2:$Q$1001="win")),$O$2:$O$1001),""))</f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>
        <f>IF(N601="","",IF(OR(ISNUMBER(SEARCH("狼",N601)),ISNUMBER(SEARCH("石像鬼",N601)),ISNUMBER(SEARCH("恶灵骑士",N601)),ISNUMBER(SEARCH("黑蝙蝠",N601)),ISNUMBER(SEARCH("血月使徒",N601))),"werewolves","villagers"))</f>
      </c>
      <c r="P601" s="0" t="inlineStr">
        <is>
          <t xml:space="preserve"/>
        </is>
      </c>
      <c r="Q601" s="0">
        <f>IF(P601="","",IF(ROUND(P601,2)=5,"win","loss"))</f>
      </c>
      <c r="R601" s="0" t="inlineStr">
        <is>
          <t xml:space="preserve"/>
        </is>
      </c>
      <c r="S601" s="0" t="inlineStr">
        <is>
          <t xml:space="preserve"/>
        </is>
      </c>
      <c r="T601" s="0" t="inlineStr">
        <is>
          <t xml:space="preserve"/>
        </is>
      </c>
      <c r="U601" s="0" t="inlineStr">
        <is>
          <t xml:space="preserve"/>
        </is>
      </c>
      <c r="V601" s="0" t="inlineStr">
        <is>
          <t xml:space="preserve"/>
        </is>
      </c>
      <c r="W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>
        <f>IF(C602="","",IFERROR(LOOKUP(2,1/(($C$2:$C$1001=C602)*($Q$2:$Q$1001="win")),$O$2:$O$1001),""))</f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>
        <f>IF(N602="","",IF(OR(ISNUMBER(SEARCH("狼",N602)),ISNUMBER(SEARCH("石像鬼",N602)),ISNUMBER(SEARCH("恶灵骑士",N602)),ISNUMBER(SEARCH("黑蝙蝠",N602)),ISNUMBER(SEARCH("血月使徒",N602))),"werewolves","villagers"))</f>
      </c>
      <c r="P602" s="0" t="inlineStr">
        <is>
          <t xml:space="preserve"/>
        </is>
      </c>
      <c r="Q602" s="0">
        <f>IF(P602="","",IF(ROUND(P602,2)=5,"win","loss"))</f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>
        <f>IF(C603="","",IFERROR(LOOKUP(2,1/(($C$2:$C$1001=C603)*($Q$2:$Q$1001="win")),$O$2:$O$1001),""))</f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>
        <f>IF(N603="","",IF(OR(ISNUMBER(SEARCH("狼",N603)),ISNUMBER(SEARCH("石像鬼",N603)),ISNUMBER(SEARCH("恶灵骑士",N603)),ISNUMBER(SEARCH("黑蝙蝠",N603)),ISNUMBER(SEARCH("血月使徒",N603))),"werewolves","villagers"))</f>
      </c>
      <c r="P603" s="0" t="inlineStr">
        <is>
          <t xml:space="preserve"/>
        </is>
      </c>
      <c r="Q603" s="0">
        <f>IF(P603="","",IF(ROUND(P603,2)=5,"win","loss"))</f>
      </c>
      <c r="R603" s="0" t="inlineStr">
        <is>
          <t xml:space="preserve"/>
        </is>
      </c>
      <c r="S603" s="0" t="inlineStr">
        <is>
          <t xml:space="preserve"/>
        </is>
      </c>
      <c r="T603" s="0" t="inlineStr">
        <is>
          <t xml:space="preserve"/>
        </is>
      </c>
      <c r="U603" s="0" t="inlineStr">
        <is>
          <t xml:space="preserve"/>
        </is>
      </c>
      <c r="V603" s="0" t="inlineStr">
        <is>
          <t xml:space="preserve"/>
        </is>
      </c>
      <c r="W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>
        <f>IF(C604="","",IFERROR(LOOKUP(2,1/(($C$2:$C$1001=C604)*($Q$2:$Q$1001="win")),$O$2:$O$1001),""))</f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>
        <f>IF(N604="","",IF(OR(ISNUMBER(SEARCH("狼",N604)),ISNUMBER(SEARCH("石像鬼",N604)),ISNUMBER(SEARCH("恶灵骑士",N604)),ISNUMBER(SEARCH("黑蝙蝠",N604)),ISNUMBER(SEARCH("血月使徒",N604))),"werewolves","villagers"))</f>
      </c>
      <c r="P604" s="0" t="inlineStr">
        <is>
          <t xml:space="preserve"/>
        </is>
      </c>
      <c r="Q604" s="0">
        <f>IF(P604="","",IF(ROUND(P604,2)=5,"win","loss"))</f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>
        <f>IF(C605="","",IFERROR(LOOKUP(2,1/(($C$2:$C$1001=C605)*($Q$2:$Q$1001="win")),$O$2:$O$1001),""))</f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>
        <f>IF(N605="","",IF(OR(ISNUMBER(SEARCH("狼",N605)),ISNUMBER(SEARCH("石像鬼",N605)),ISNUMBER(SEARCH("恶灵骑士",N605)),ISNUMBER(SEARCH("黑蝙蝠",N605)),ISNUMBER(SEARCH("血月使徒",N605))),"werewolves","villagers"))</f>
      </c>
      <c r="P605" s="0" t="inlineStr">
        <is>
          <t xml:space="preserve"/>
        </is>
      </c>
      <c r="Q605" s="0">
        <f>IF(P605="","",IF(ROUND(P605,2)=5,"win","loss"))</f>
      </c>
      <c r="R605" s="0" t="inlineStr">
        <is>
          <t xml:space="preserve"/>
        </is>
      </c>
      <c r="S605" s="0" t="inlineStr">
        <is>
          <t xml:space="preserve"/>
        </is>
      </c>
      <c r="T605" s="0" t="inlineStr">
        <is>
          <t xml:space="preserve"/>
        </is>
      </c>
      <c r="U605" s="0" t="inlineStr">
        <is>
          <t xml:space="preserve"/>
        </is>
      </c>
      <c r="V605" s="0" t="inlineStr">
        <is>
          <t xml:space="preserve"/>
        </is>
      </c>
      <c r="W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>
        <f>IF(C606="","",IFERROR(LOOKUP(2,1/(($C$2:$C$1001=C606)*($Q$2:$Q$1001="win")),$O$2:$O$1001),""))</f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>
        <f>IF(N606="","",IF(OR(ISNUMBER(SEARCH("狼",N606)),ISNUMBER(SEARCH("石像鬼",N606)),ISNUMBER(SEARCH("恶灵骑士",N606)),ISNUMBER(SEARCH("黑蝙蝠",N606)),ISNUMBER(SEARCH("血月使徒",N606))),"werewolves","villagers"))</f>
      </c>
      <c r="P606" s="0" t="inlineStr">
        <is>
          <t xml:space="preserve"/>
        </is>
      </c>
      <c r="Q606" s="0">
        <f>IF(P606="","",IF(ROUND(P606,2)=5,"win","loss"))</f>
      </c>
      <c r="R606" s="0" t="inlineStr">
        <is>
          <t xml:space="preserve"/>
        </is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>
        <f>IF(C607="","",IFERROR(LOOKUP(2,1/(($C$2:$C$1001=C607)*($Q$2:$Q$1001="win")),$O$2:$O$1001),""))</f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>
        <f>IF(N607="","",IF(OR(ISNUMBER(SEARCH("狼",N607)),ISNUMBER(SEARCH("石像鬼",N607)),ISNUMBER(SEARCH("恶灵骑士",N607)),ISNUMBER(SEARCH("黑蝙蝠",N607)),ISNUMBER(SEARCH("血月使徒",N607))),"werewolves","villagers"))</f>
      </c>
      <c r="P607" s="0" t="inlineStr">
        <is>
          <t xml:space="preserve"/>
        </is>
      </c>
      <c r="Q607" s="0">
        <f>IF(P607="","",IF(ROUND(P607,2)=5,"win","loss"))</f>
      </c>
      <c r="R607" s="0" t="inlineStr">
        <is>
          <t xml:space="preserve"/>
        </is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>
        <f>IF(C608="","",IFERROR(LOOKUP(2,1/(($C$2:$C$1001=C608)*($Q$2:$Q$1001="win")),$O$2:$O$1001),""))</f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>
        <f>IF(N608="","",IF(OR(ISNUMBER(SEARCH("狼",N608)),ISNUMBER(SEARCH("石像鬼",N608)),ISNUMBER(SEARCH("恶灵骑士",N608)),ISNUMBER(SEARCH("黑蝙蝠",N608)),ISNUMBER(SEARCH("血月使徒",N608))),"werewolves","villagers"))</f>
      </c>
      <c r="P608" s="0" t="inlineStr">
        <is>
          <t xml:space="preserve"/>
        </is>
      </c>
      <c r="Q608" s="0">
        <f>IF(P608="","",IF(ROUND(P608,2)=5,"win","loss"))</f>
      </c>
      <c r="R608" s="0" t="inlineStr">
        <is>
          <t xml:space="preserve"/>
        </is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>
        <f>IF(C609="","",IFERROR(LOOKUP(2,1/(($C$2:$C$1001=C609)*($Q$2:$Q$1001="win")),$O$2:$O$1001),""))</f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>
        <f>IF(N609="","",IF(OR(ISNUMBER(SEARCH("狼",N609)),ISNUMBER(SEARCH("石像鬼",N609)),ISNUMBER(SEARCH("恶灵骑士",N609)),ISNUMBER(SEARCH("黑蝙蝠",N609)),ISNUMBER(SEARCH("血月使徒",N609))),"werewolves","villagers"))</f>
      </c>
      <c r="P609" s="0" t="inlineStr">
        <is>
          <t xml:space="preserve"/>
        </is>
      </c>
      <c r="Q609" s="0">
        <f>IF(P609="","",IF(ROUND(P609,2)=5,"win","loss"))</f>
      </c>
      <c r="R609" s="0" t="inlineStr">
        <is>
          <t xml:space="preserve"/>
        </is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>
        <f>IF(C610="","",IFERROR(LOOKUP(2,1/(($C$2:$C$1001=C610)*($Q$2:$Q$1001="win")),$O$2:$O$1001),""))</f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>
        <f>IF(N610="","",IF(OR(ISNUMBER(SEARCH("狼",N610)),ISNUMBER(SEARCH("石像鬼",N610)),ISNUMBER(SEARCH("恶灵骑士",N610)),ISNUMBER(SEARCH("黑蝙蝠",N610)),ISNUMBER(SEARCH("血月使徒",N610))),"werewolves","villagers"))</f>
      </c>
      <c r="P610" s="0" t="inlineStr">
        <is>
          <t xml:space="preserve"/>
        </is>
      </c>
      <c r="Q610" s="0">
        <f>IF(P610="","",IF(ROUND(P610,2)=5,"win","loss"))</f>
      </c>
      <c r="R610" s="0" t="inlineStr">
        <is>
          <t xml:space="preserve"/>
        </is>
      </c>
      <c r="S610" s="0" t="inlineStr">
        <is>
          <t xml:space="preserve"/>
        </is>
      </c>
      <c r="T610" s="0" t="inlineStr">
        <is>
          <t xml:space="preserve"/>
        </is>
      </c>
      <c r="U610" s="0" t="inlineStr">
        <is>
          <t xml:space="preserve"/>
        </is>
      </c>
      <c r="V610" s="0" t="inlineStr">
        <is>
          <t xml:space="preserve"/>
        </is>
      </c>
      <c r="W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>
        <f>IF(C611="","",IFERROR(LOOKUP(2,1/(($C$2:$C$1001=C611)*($Q$2:$Q$1001="win")),$O$2:$O$1001),""))</f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>
        <f>IF(N611="","",IF(OR(ISNUMBER(SEARCH("狼",N611)),ISNUMBER(SEARCH("石像鬼",N611)),ISNUMBER(SEARCH("恶灵骑士",N611)),ISNUMBER(SEARCH("黑蝙蝠",N611)),ISNUMBER(SEARCH("血月使徒",N611))),"werewolves","villagers"))</f>
      </c>
      <c r="P611" s="0" t="inlineStr">
        <is>
          <t xml:space="preserve"/>
        </is>
      </c>
      <c r="Q611" s="0">
        <f>IF(P611="","",IF(ROUND(P611,2)=5,"win","loss"))</f>
      </c>
      <c r="R611" s="0" t="inlineStr">
        <is>
          <t xml:space="preserve"/>
        </is>
      </c>
      <c r="S611" s="0" t="inlineStr">
        <is>
          <t xml:space="preserve"/>
        </is>
      </c>
      <c r="T611" s="0" t="inlineStr">
        <is>
          <t xml:space="preserve"/>
        </is>
      </c>
      <c r="U611" s="0" t="inlineStr">
        <is>
          <t xml:space="preserve"/>
        </is>
      </c>
      <c r="V611" s="0" t="inlineStr">
        <is>
          <t xml:space="preserve"/>
        </is>
      </c>
      <c r="W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>
        <f>IF(C612="","",IFERROR(LOOKUP(2,1/(($C$2:$C$1001=C612)*($Q$2:$Q$1001="win")),$O$2:$O$1001),""))</f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>
        <f>IF(N612="","",IF(OR(ISNUMBER(SEARCH("狼",N612)),ISNUMBER(SEARCH("石像鬼",N612)),ISNUMBER(SEARCH("恶灵骑士",N612)),ISNUMBER(SEARCH("黑蝙蝠",N612)),ISNUMBER(SEARCH("血月使徒",N612))),"werewolves","villagers"))</f>
      </c>
      <c r="P612" s="0" t="inlineStr">
        <is>
          <t xml:space="preserve"/>
        </is>
      </c>
      <c r="Q612" s="0">
        <f>IF(P612="","",IF(ROUND(P612,2)=5,"win","loss"))</f>
      </c>
      <c r="R612" s="0" t="inlineStr">
        <is>
          <t xml:space="preserve"/>
        </is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>
        <f>IF(C613="","",IFERROR(LOOKUP(2,1/(($C$2:$C$1001=C613)*($Q$2:$Q$1001="win")),$O$2:$O$1001),""))</f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>
        <f>IF(N613="","",IF(OR(ISNUMBER(SEARCH("狼",N613)),ISNUMBER(SEARCH("石像鬼",N613)),ISNUMBER(SEARCH("恶灵骑士",N613)),ISNUMBER(SEARCH("黑蝙蝠",N613)),ISNUMBER(SEARCH("血月使徒",N613))),"werewolves","villagers"))</f>
      </c>
      <c r="P613" s="0" t="inlineStr">
        <is>
          <t xml:space="preserve"/>
        </is>
      </c>
      <c r="Q613" s="0">
        <f>IF(P613="","",IF(ROUND(P613,2)=5,"win","loss"))</f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>
        <f>IF(C614="","",IFERROR(LOOKUP(2,1/(($C$2:$C$1001=C614)*($Q$2:$Q$1001="win")),$O$2:$O$1001),""))</f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>
        <f>IF(N614="","",IF(OR(ISNUMBER(SEARCH("狼",N614)),ISNUMBER(SEARCH("石像鬼",N614)),ISNUMBER(SEARCH("恶灵骑士",N614)),ISNUMBER(SEARCH("黑蝙蝠",N614)),ISNUMBER(SEARCH("血月使徒",N614))),"werewolves","villagers"))</f>
      </c>
      <c r="P614" s="0" t="inlineStr">
        <is>
          <t xml:space="preserve"/>
        </is>
      </c>
      <c r="Q614" s="0">
        <f>IF(P614="","",IF(ROUND(P614,2)=5,"win","loss"))</f>
      </c>
      <c r="R614" s="0" t="inlineStr">
        <is>
          <t xml:space="preserve"/>
        </is>
      </c>
      <c r="S614" s="0" t="inlineStr">
        <is>
          <t xml:space="preserve"/>
        </is>
      </c>
      <c r="T614" s="0" t="inlineStr">
        <is>
          <t xml:space="preserve"/>
        </is>
      </c>
      <c r="U614" s="0" t="inlineStr">
        <is>
          <t xml:space="preserve"/>
        </is>
      </c>
      <c r="V614" s="0" t="inlineStr">
        <is>
          <t xml:space="preserve"/>
        </is>
      </c>
      <c r="W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>
        <f>IF(C615="","",IFERROR(LOOKUP(2,1/(($C$2:$C$1001=C615)*($Q$2:$Q$1001="win")),$O$2:$O$1001),""))</f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>
        <f>IF(N615="","",IF(OR(ISNUMBER(SEARCH("狼",N615)),ISNUMBER(SEARCH("石像鬼",N615)),ISNUMBER(SEARCH("恶灵骑士",N615)),ISNUMBER(SEARCH("黑蝙蝠",N615)),ISNUMBER(SEARCH("血月使徒",N615))),"werewolves","villagers"))</f>
      </c>
      <c r="P615" s="0" t="inlineStr">
        <is>
          <t xml:space="preserve"/>
        </is>
      </c>
      <c r="Q615" s="0">
        <f>IF(P615="","",IF(ROUND(P615,2)=5,"win","loss"))</f>
      </c>
      <c r="R615" s="0" t="inlineStr">
        <is>
          <t xml:space="preserve"/>
        </is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>
        <f>IF(C616="","",IFERROR(LOOKUP(2,1/(($C$2:$C$1001=C616)*($Q$2:$Q$1001="win")),$O$2:$O$1001),""))</f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>
        <f>IF(N616="","",IF(OR(ISNUMBER(SEARCH("狼",N616)),ISNUMBER(SEARCH("石像鬼",N616)),ISNUMBER(SEARCH("恶灵骑士",N616)),ISNUMBER(SEARCH("黑蝙蝠",N616)),ISNUMBER(SEARCH("血月使徒",N616))),"werewolves","villagers"))</f>
      </c>
      <c r="P616" s="0" t="inlineStr">
        <is>
          <t xml:space="preserve"/>
        </is>
      </c>
      <c r="Q616" s="0">
        <f>IF(P616="","",IF(ROUND(P616,2)=5,"win","loss"))</f>
      </c>
      <c r="R616" s="0" t="inlineStr">
        <is>
          <t xml:space="preserve"/>
        </is>
      </c>
      <c r="S616" s="0" t="inlineStr">
        <is>
          <t xml:space="preserve"/>
        </is>
      </c>
      <c r="T616" s="0" t="inlineStr">
        <is>
          <t xml:space="preserve"/>
        </is>
      </c>
      <c r="U616" s="0" t="inlineStr">
        <is>
          <t xml:space="preserve"/>
        </is>
      </c>
      <c r="V616" s="0" t="inlineStr">
        <is>
          <t xml:space="preserve"/>
        </is>
      </c>
      <c r="W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>
        <f>IF(C617="","",IFERROR(LOOKUP(2,1/(($C$2:$C$1001=C617)*($Q$2:$Q$1001="win")),$O$2:$O$1001),""))</f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>
        <f>IF(N617="","",IF(OR(ISNUMBER(SEARCH("狼",N617)),ISNUMBER(SEARCH("石像鬼",N617)),ISNUMBER(SEARCH("恶灵骑士",N617)),ISNUMBER(SEARCH("黑蝙蝠",N617)),ISNUMBER(SEARCH("血月使徒",N617))),"werewolves","villagers"))</f>
      </c>
      <c r="P617" s="0" t="inlineStr">
        <is>
          <t xml:space="preserve"/>
        </is>
      </c>
      <c r="Q617" s="0">
        <f>IF(P617="","",IF(ROUND(P617,2)=5,"win","loss"))</f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>
        <f>IF(C618="","",IFERROR(LOOKUP(2,1/(($C$2:$C$1001=C618)*($Q$2:$Q$1001="win")),$O$2:$O$1001),""))</f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>
        <f>IF(N618="","",IF(OR(ISNUMBER(SEARCH("狼",N618)),ISNUMBER(SEARCH("石像鬼",N618)),ISNUMBER(SEARCH("恶灵骑士",N618)),ISNUMBER(SEARCH("黑蝙蝠",N618)),ISNUMBER(SEARCH("血月使徒",N618))),"werewolves","villagers"))</f>
      </c>
      <c r="P618" s="0" t="inlineStr">
        <is>
          <t xml:space="preserve"/>
        </is>
      </c>
      <c r="Q618" s="0">
        <f>IF(P618="","",IF(ROUND(P618,2)=5,"win","loss"))</f>
      </c>
      <c r="R618" s="0" t="inlineStr">
        <is>
          <t xml:space="preserve"/>
        </is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>
        <f>IF(C619="","",IFERROR(LOOKUP(2,1/(($C$2:$C$1001=C619)*($Q$2:$Q$1001="win")),$O$2:$O$1001),""))</f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>
        <f>IF(N619="","",IF(OR(ISNUMBER(SEARCH("狼",N619)),ISNUMBER(SEARCH("石像鬼",N619)),ISNUMBER(SEARCH("恶灵骑士",N619)),ISNUMBER(SEARCH("黑蝙蝠",N619)),ISNUMBER(SEARCH("血月使徒",N619))),"werewolves","villagers"))</f>
      </c>
      <c r="P619" s="0" t="inlineStr">
        <is>
          <t xml:space="preserve"/>
        </is>
      </c>
      <c r="Q619" s="0">
        <f>IF(P619="","",IF(ROUND(P619,2)=5,"win","loss"))</f>
      </c>
      <c r="R619" s="0" t="inlineStr">
        <is>
          <t xml:space="preserve"/>
        </is>
      </c>
      <c r="S619" s="0" t="inlineStr">
        <is>
          <t xml:space="preserve"/>
        </is>
      </c>
      <c r="T619" s="0" t="inlineStr">
        <is>
          <t xml:space="preserve"/>
        </is>
      </c>
      <c r="U619" s="0" t="inlineStr">
        <is>
          <t xml:space="preserve"/>
        </is>
      </c>
      <c r="V619" s="0" t="inlineStr">
        <is>
          <t xml:space="preserve"/>
        </is>
      </c>
      <c r="W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>
        <f>IF(C620="","",IFERROR(LOOKUP(2,1/(($C$2:$C$1001=C620)*($Q$2:$Q$1001="win")),$O$2:$O$1001),""))</f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>
        <f>IF(N620="","",IF(OR(ISNUMBER(SEARCH("狼",N620)),ISNUMBER(SEARCH("石像鬼",N620)),ISNUMBER(SEARCH("恶灵骑士",N620)),ISNUMBER(SEARCH("黑蝙蝠",N620)),ISNUMBER(SEARCH("血月使徒",N620))),"werewolves","villagers"))</f>
      </c>
      <c r="P620" s="0" t="inlineStr">
        <is>
          <t xml:space="preserve"/>
        </is>
      </c>
      <c r="Q620" s="0">
        <f>IF(P620="","",IF(ROUND(P620,2)=5,"win","loss"))</f>
      </c>
      <c r="R620" s="0" t="inlineStr">
        <is>
          <t xml:space="preserve"/>
        </is>
      </c>
      <c r="S620" s="0" t="inlineStr">
        <is>
          <t xml:space="preserve"/>
        </is>
      </c>
      <c r="T620" s="0" t="inlineStr">
        <is>
          <t xml:space="preserve"/>
        </is>
      </c>
      <c r="U620" s="0" t="inlineStr">
        <is>
          <t xml:space="preserve"/>
        </is>
      </c>
      <c r="V620" s="0" t="inlineStr">
        <is>
          <t xml:space="preserve"/>
        </is>
      </c>
      <c r="W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>
        <f>IF(C621="","",IFERROR(LOOKUP(2,1/(($C$2:$C$1001=C621)*($Q$2:$Q$1001="win")),$O$2:$O$1001),""))</f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>
        <f>IF(N621="","",IF(OR(ISNUMBER(SEARCH("狼",N621)),ISNUMBER(SEARCH("石像鬼",N621)),ISNUMBER(SEARCH("恶灵骑士",N621)),ISNUMBER(SEARCH("黑蝙蝠",N621)),ISNUMBER(SEARCH("血月使徒",N621))),"werewolves","villagers"))</f>
      </c>
      <c r="P621" s="0" t="inlineStr">
        <is>
          <t xml:space="preserve"/>
        </is>
      </c>
      <c r="Q621" s="0">
        <f>IF(P621="","",IF(ROUND(P621,2)=5,"win","loss"))</f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>
        <f>IF(C622="","",IFERROR(LOOKUP(2,1/(($C$2:$C$1001=C622)*($Q$2:$Q$1001="win")),$O$2:$O$1001),""))</f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>
        <f>IF(N622="","",IF(OR(ISNUMBER(SEARCH("狼",N622)),ISNUMBER(SEARCH("石像鬼",N622)),ISNUMBER(SEARCH("恶灵骑士",N622)),ISNUMBER(SEARCH("黑蝙蝠",N622)),ISNUMBER(SEARCH("血月使徒",N622))),"werewolves","villagers"))</f>
      </c>
      <c r="P622" s="0" t="inlineStr">
        <is>
          <t xml:space="preserve"/>
        </is>
      </c>
      <c r="Q622" s="0">
        <f>IF(P622="","",IF(ROUND(P622,2)=5,"win","loss"))</f>
      </c>
      <c r="R622" s="0" t="inlineStr">
        <is>
          <t xml:space="preserve"/>
        </is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>
        <f>IF(C623="","",IFERROR(LOOKUP(2,1/(($C$2:$C$1001=C623)*($Q$2:$Q$1001="win")),$O$2:$O$1001),""))</f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>
        <f>IF(N623="","",IF(OR(ISNUMBER(SEARCH("狼",N623)),ISNUMBER(SEARCH("石像鬼",N623)),ISNUMBER(SEARCH("恶灵骑士",N623)),ISNUMBER(SEARCH("黑蝙蝠",N623)),ISNUMBER(SEARCH("血月使徒",N623))),"werewolves","villagers"))</f>
      </c>
      <c r="P623" s="0" t="inlineStr">
        <is>
          <t xml:space="preserve"/>
        </is>
      </c>
      <c r="Q623" s="0">
        <f>IF(P623="","",IF(ROUND(P623,2)=5,"win","loss"))</f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>
        <f>IF(C624="","",IFERROR(LOOKUP(2,1/(($C$2:$C$1001=C624)*($Q$2:$Q$1001="win")),$O$2:$O$1001),""))</f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>
        <f>IF(N624="","",IF(OR(ISNUMBER(SEARCH("狼",N624)),ISNUMBER(SEARCH("石像鬼",N624)),ISNUMBER(SEARCH("恶灵骑士",N624)),ISNUMBER(SEARCH("黑蝙蝠",N624)),ISNUMBER(SEARCH("血月使徒",N624))),"werewolves","villagers"))</f>
      </c>
      <c r="P624" s="0" t="inlineStr">
        <is>
          <t xml:space="preserve"/>
        </is>
      </c>
      <c r="Q624" s="0">
        <f>IF(P624="","",IF(ROUND(P624,2)=5,"win","loss"))</f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>
        <f>IF(C625="","",IFERROR(LOOKUP(2,1/(($C$2:$C$1001=C625)*($Q$2:$Q$1001="win")),$O$2:$O$1001),""))</f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>
        <f>IF(N625="","",IF(OR(ISNUMBER(SEARCH("狼",N625)),ISNUMBER(SEARCH("石像鬼",N625)),ISNUMBER(SEARCH("恶灵骑士",N625)),ISNUMBER(SEARCH("黑蝙蝠",N625)),ISNUMBER(SEARCH("血月使徒",N625))),"werewolves","villagers"))</f>
      </c>
      <c r="P625" s="0" t="inlineStr">
        <is>
          <t xml:space="preserve"/>
        </is>
      </c>
      <c r="Q625" s="0">
        <f>IF(P625="","",IF(ROUND(P625,2)=5,"win","loss"))</f>
      </c>
      <c r="R625" s="0" t="inlineStr">
        <is>
          <t xml:space="preserve"/>
        </is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>
        <f>IF(C626="","",IFERROR(LOOKUP(2,1/(($C$2:$C$1001=C626)*($Q$2:$Q$1001="win")),$O$2:$O$1001),""))</f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>
        <f>IF(N626="","",IF(OR(ISNUMBER(SEARCH("狼",N626)),ISNUMBER(SEARCH("石像鬼",N626)),ISNUMBER(SEARCH("恶灵骑士",N626)),ISNUMBER(SEARCH("黑蝙蝠",N626)),ISNUMBER(SEARCH("血月使徒",N626))),"werewolves","villagers"))</f>
      </c>
      <c r="P626" s="0" t="inlineStr">
        <is>
          <t xml:space="preserve"/>
        </is>
      </c>
      <c r="Q626" s="0">
        <f>IF(P626="","",IF(ROUND(P626,2)=5,"win","loss"))</f>
      </c>
      <c r="R626" s="0" t="inlineStr">
        <is>
          <t xml:space="preserve"/>
        </is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>
        <f>IF(C627="","",IFERROR(LOOKUP(2,1/(($C$2:$C$1001=C627)*($Q$2:$Q$1001="win")),$O$2:$O$1001),""))</f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>
        <f>IF(N627="","",IF(OR(ISNUMBER(SEARCH("狼",N627)),ISNUMBER(SEARCH("石像鬼",N627)),ISNUMBER(SEARCH("恶灵骑士",N627)),ISNUMBER(SEARCH("黑蝙蝠",N627)),ISNUMBER(SEARCH("血月使徒",N627))),"werewolves","villagers"))</f>
      </c>
      <c r="P627" s="0" t="inlineStr">
        <is>
          <t xml:space="preserve"/>
        </is>
      </c>
      <c r="Q627" s="0">
        <f>IF(P627="","",IF(ROUND(P627,2)=5,"win","loss"))</f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>
        <f>IF(C628="","",IFERROR(LOOKUP(2,1/(($C$2:$C$1001=C628)*($Q$2:$Q$1001="win")),$O$2:$O$1001),""))</f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>
        <f>IF(N628="","",IF(OR(ISNUMBER(SEARCH("狼",N628)),ISNUMBER(SEARCH("石像鬼",N628)),ISNUMBER(SEARCH("恶灵骑士",N628)),ISNUMBER(SEARCH("黑蝙蝠",N628)),ISNUMBER(SEARCH("血月使徒",N628))),"werewolves","villagers"))</f>
      </c>
      <c r="P628" s="0" t="inlineStr">
        <is>
          <t xml:space="preserve"/>
        </is>
      </c>
      <c r="Q628" s="0">
        <f>IF(P628="","",IF(ROUND(P628,2)=5,"win","loss"))</f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>
        <f>IF(C629="","",IFERROR(LOOKUP(2,1/(($C$2:$C$1001=C629)*($Q$2:$Q$1001="win")),$O$2:$O$1001),""))</f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>
        <f>IF(N629="","",IF(OR(ISNUMBER(SEARCH("狼",N629)),ISNUMBER(SEARCH("石像鬼",N629)),ISNUMBER(SEARCH("恶灵骑士",N629)),ISNUMBER(SEARCH("黑蝙蝠",N629)),ISNUMBER(SEARCH("血月使徒",N629))),"werewolves","villagers"))</f>
      </c>
      <c r="P629" s="0" t="inlineStr">
        <is>
          <t xml:space="preserve"/>
        </is>
      </c>
      <c r="Q629" s="0">
        <f>IF(P629="","",IF(ROUND(P629,2)=5,"win","loss"))</f>
      </c>
      <c r="R629" s="0" t="inlineStr">
        <is>
          <t xml:space="preserve"/>
        </is>
      </c>
      <c r="S629" s="0" t="inlineStr">
        <is>
          <t xml:space="preserve"/>
        </is>
      </c>
      <c r="T629" s="0" t="inlineStr">
        <is>
          <t xml:space="preserve"/>
        </is>
      </c>
      <c r="U629" s="0" t="inlineStr">
        <is>
          <t xml:space="preserve"/>
        </is>
      </c>
      <c r="V629" s="0" t="inlineStr">
        <is>
          <t xml:space="preserve"/>
        </is>
      </c>
      <c r="W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>
        <f>IF(C630="","",IFERROR(LOOKUP(2,1/(($C$2:$C$1001=C630)*($Q$2:$Q$1001="win")),$O$2:$O$1001),""))</f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>
        <f>IF(N630="","",IF(OR(ISNUMBER(SEARCH("狼",N630)),ISNUMBER(SEARCH("石像鬼",N630)),ISNUMBER(SEARCH("恶灵骑士",N630)),ISNUMBER(SEARCH("黑蝙蝠",N630)),ISNUMBER(SEARCH("血月使徒",N630))),"werewolves","villagers"))</f>
      </c>
      <c r="P630" s="0" t="inlineStr">
        <is>
          <t xml:space="preserve"/>
        </is>
      </c>
      <c r="Q630" s="0">
        <f>IF(P630="","",IF(ROUND(P630,2)=5,"win","loss"))</f>
      </c>
      <c r="R630" s="0" t="inlineStr">
        <is>
          <t xml:space="preserve"/>
        </is>
      </c>
      <c r="S630" s="0" t="inlineStr">
        <is>
          <t xml:space="preserve"/>
        </is>
      </c>
      <c r="T630" s="0" t="inlineStr">
        <is>
          <t xml:space="preserve"/>
        </is>
      </c>
      <c r="U630" s="0" t="inlineStr">
        <is>
          <t xml:space="preserve"/>
        </is>
      </c>
      <c r="V630" s="0" t="inlineStr">
        <is>
          <t xml:space="preserve"/>
        </is>
      </c>
      <c r="W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>
        <f>IF(C631="","",IFERROR(LOOKUP(2,1/(($C$2:$C$1001=C631)*($Q$2:$Q$1001="win")),$O$2:$O$1001),""))</f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>
        <f>IF(N631="","",IF(OR(ISNUMBER(SEARCH("狼",N631)),ISNUMBER(SEARCH("石像鬼",N631)),ISNUMBER(SEARCH("恶灵骑士",N631)),ISNUMBER(SEARCH("黑蝙蝠",N631)),ISNUMBER(SEARCH("血月使徒",N631))),"werewolves","villagers"))</f>
      </c>
      <c r="P631" s="0" t="inlineStr">
        <is>
          <t xml:space="preserve"/>
        </is>
      </c>
      <c r="Q631" s="0">
        <f>IF(P631="","",IF(ROUND(P631,2)=5,"win","loss"))</f>
      </c>
      <c r="R631" s="0" t="inlineStr">
        <is>
          <t xml:space="preserve"/>
        </is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>
        <f>IF(C632="","",IFERROR(LOOKUP(2,1/(($C$2:$C$1001=C632)*($Q$2:$Q$1001="win")),$O$2:$O$1001),""))</f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>
        <f>IF(N632="","",IF(OR(ISNUMBER(SEARCH("狼",N632)),ISNUMBER(SEARCH("石像鬼",N632)),ISNUMBER(SEARCH("恶灵骑士",N632)),ISNUMBER(SEARCH("黑蝙蝠",N632)),ISNUMBER(SEARCH("血月使徒",N632))),"werewolves","villagers"))</f>
      </c>
      <c r="P632" s="0" t="inlineStr">
        <is>
          <t xml:space="preserve"/>
        </is>
      </c>
      <c r="Q632" s="0">
        <f>IF(P632="","",IF(ROUND(P632,2)=5,"win","loss"))</f>
      </c>
      <c r="R632" s="0" t="inlineStr">
        <is>
          <t xml:space="preserve"/>
        </is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>
        <f>IF(C633="","",IFERROR(LOOKUP(2,1/(($C$2:$C$1001=C633)*($Q$2:$Q$1001="win")),$O$2:$O$1001),""))</f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>
        <f>IF(N633="","",IF(OR(ISNUMBER(SEARCH("狼",N633)),ISNUMBER(SEARCH("石像鬼",N633)),ISNUMBER(SEARCH("恶灵骑士",N633)),ISNUMBER(SEARCH("黑蝙蝠",N633)),ISNUMBER(SEARCH("血月使徒",N633))),"werewolves","villagers"))</f>
      </c>
      <c r="P633" s="0" t="inlineStr">
        <is>
          <t xml:space="preserve"/>
        </is>
      </c>
      <c r="Q633" s="0">
        <f>IF(P633="","",IF(ROUND(P633,2)=5,"win","loss"))</f>
      </c>
      <c r="R633" s="0" t="inlineStr">
        <is>
          <t xml:space="preserve"/>
        </is>
      </c>
      <c r="S633" s="0" t="inlineStr">
        <is>
          <t xml:space="preserve"/>
        </is>
      </c>
      <c r="T633" s="0" t="inlineStr">
        <is>
          <t xml:space="preserve"/>
        </is>
      </c>
      <c r="U633" s="0" t="inlineStr">
        <is>
          <t xml:space="preserve"/>
        </is>
      </c>
      <c r="V633" s="0" t="inlineStr">
        <is>
          <t xml:space="preserve"/>
        </is>
      </c>
      <c r="W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>
        <f>IF(C634="","",IFERROR(LOOKUP(2,1/(($C$2:$C$1001=C634)*($Q$2:$Q$1001="win")),$O$2:$O$1001),""))</f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>
        <f>IF(N634="","",IF(OR(ISNUMBER(SEARCH("狼",N634)),ISNUMBER(SEARCH("石像鬼",N634)),ISNUMBER(SEARCH("恶灵骑士",N634)),ISNUMBER(SEARCH("黑蝙蝠",N634)),ISNUMBER(SEARCH("血月使徒",N634))),"werewolves","villagers"))</f>
      </c>
      <c r="P634" s="0" t="inlineStr">
        <is>
          <t xml:space="preserve"/>
        </is>
      </c>
      <c r="Q634" s="0">
        <f>IF(P634="","",IF(ROUND(P634,2)=5,"win","loss"))</f>
      </c>
      <c r="R634" s="0" t="inlineStr">
        <is>
          <t xml:space="preserve"/>
        </is>
      </c>
      <c r="S634" s="0" t="inlineStr">
        <is>
          <t xml:space="preserve"/>
        </is>
      </c>
      <c r="T634" s="0" t="inlineStr">
        <is>
          <t xml:space="preserve"/>
        </is>
      </c>
      <c r="U634" s="0" t="inlineStr">
        <is>
          <t xml:space="preserve"/>
        </is>
      </c>
      <c r="V634" s="0" t="inlineStr">
        <is>
          <t xml:space="preserve"/>
        </is>
      </c>
      <c r="W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>
        <f>IF(C635="","",IFERROR(LOOKUP(2,1/(($C$2:$C$1001=C635)*($Q$2:$Q$1001="win")),$O$2:$O$1001),""))</f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>
        <f>IF(N635="","",IF(OR(ISNUMBER(SEARCH("狼",N635)),ISNUMBER(SEARCH("石像鬼",N635)),ISNUMBER(SEARCH("恶灵骑士",N635)),ISNUMBER(SEARCH("黑蝙蝠",N635)),ISNUMBER(SEARCH("血月使徒",N635))),"werewolves","villagers"))</f>
      </c>
      <c r="P635" s="0" t="inlineStr">
        <is>
          <t xml:space="preserve"/>
        </is>
      </c>
      <c r="Q635" s="0">
        <f>IF(P635="","",IF(ROUND(P635,2)=5,"win","loss"))</f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>
        <f>IF(C636="","",IFERROR(LOOKUP(2,1/(($C$2:$C$1001=C636)*($Q$2:$Q$1001="win")),$O$2:$O$1001),""))</f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>
        <f>IF(N636="","",IF(OR(ISNUMBER(SEARCH("狼",N636)),ISNUMBER(SEARCH("石像鬼",N636)),ISNUMBER(SEARCH("恶灵骑士",N636)),ISNUMBER(SEARCH("黑蝙蝠",N636)),ISNUMBER(SEARCH("血月使徒",N636))),"werewolves","villagers"))</f>
      </c>
      <c r="P636" s="0" t="inlineStr">
        <is>
          <t xml:space="preserve"/>
        </is>
      </c>
      <c r="Q636" s="0">
        <f>IF(P636="","",IF(ROUND(P636,2)=5,"win","loss"))</f>
      </c>
      <c r="R636" s="0" t="inlineStr">
        <is>
          <t xml:space="preserve"/>
        </is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>
        <f>IF(C637="","",IFERROR(LOOKUP(2,1/(($C$2:$C$1001=C637)*($Q$2:$Q$1001="win")),$O$2:$O$1001),""))</f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>
        <f>IF(N637="","",IF(OR(ISNUMBER(SEARCH("狼",N637)),ISNUMBER(SEARCH("石像鬼",N637)),ISNUMBER(SEARCH("恶灵骑士",N637)),ISNUMBER(SEARCH("黑蝙蝠",N637)),ISNUMBER(SEARCH("血月使徒",N637))),"werewolves","villagers"))</f>
      </c>
      <c r="P637" s="0" t="inlineStr">
        <is>
          <t xml:space="preserve"/>
        </is>
      </c>
      <c r="Q637" s="0">
        <f>IF(P637="","",IF(ROUND(P637,2)=5,"win","loss"))</f>
      </c>
      <c r="R637" s="0" t="inlineStr">
        <is>
          <t xml:space="preserve"/>
        </is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>
        <f>IF(C638="","",IFERROR(LOOKUP(2,1/(($C$2:$C$1001=C638)*($Q$2:$Q$1001="win")),$O$2:$O$1001),""))</f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>
        <f>IF(N638="","",IF(OR(ISNUMBER(SEARCH("狼",N638)),ISNUMBER(SEARCH("石像鬼",N638)),ISNUMBER(SEARCH("恶灵骑士",N638)),ISNUMBER(SEARCH("黑蝙蝠",N638)),ISNUMBER(SEARCH("血月使徒",N638))),"werewolves","villagers"))</f>
      </c>
      <c r="P638" s="0" t="inlineStr">
        <is>
          <t xml:space="preserve"/>
        </is>
      </c>
      <c r="Q638" s="0">
        <f>IF(P638="","",IF(ROUND(P638,2)=5,"win","loss"))</f>
      </c>
      <c r="R638" s="0" t="inlineStr">
        <is>
          <t xml:space="preserve"/>
        </is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>
        <f>IF(C639="","",IFERROR(LOOKUP(2,1/(($C$2:$C$1001=C639)*($Q$2:$Q$1001="win")),$O$2:$O$1001),""))</f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>
        <f>IF(N639="","",IF(OR(ISNUMBER(SEARCH("狼",N639)),ISNUMBER(SEARCH("石像鬼",N639)),ISNUMBER(SEARCH("恶灵骑士",N639)),ISNUMBER(SEARCH("黑蝙蝠",N639)),ISNUMBER(SEARCH("血月使徒",N639))),"werewolves","villagers"))</f>
      </c>
      <c r="P639" s="0" t="inlineStr">
        <is>
          <t xml:space="preserve"/>
        </is>
      </c>
      <c r="Q639" s="0">
        <f>IF(P639="","",IF(ROUND(P639,2)=5,"win","loss"))</f>
      </c>
      <c r="R639" s="0" t="inlineStr">
        <is>
          <t xml:space="preserve"/>
        </is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>
        <f>IF(C640="","",IFERROR(LOOKUP(2,1/(($C$2:$C$1001=C640)*($Q$2:$Q$1001="win")),$O$2:$O$1001),""))</f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>
        <f>IF(N640="","",IF(OR(ISNUMBER(SEARCH("狼",N640)),ISNUMBER(SEARCH("石像鬼",N640)),ISNUMBER(SEARCH("恶灵骑士",N640)),ISNUMBER(SEARCH("黑蝙蝠",N640)),ISNUMBER(SEARCH("血月使徒",N640))),"werewolves","villagers"))</f>
      </c>
      <c r="P640" s="0" t="inlineStr">
        <is>
          <t xml:space="preserve"/>
        </is>
      </c>
      <c r="Q640" s="0">
        <f>IF(P640="","",IF(ROUND(P640,2)=5,"win","loss"))</f>
      </c>
      <c r="R640" s="0" t="inlineStr">
        <is>
          <t xml:space="preserve"/>
        </is>
      </c>
      <c r="S640" s="0" t="inlineStr">
        <is>
          <t xml:space="preserve"/>
        </is>
      </c>
      <c r="T640" s="0" t="inlineStr">
        <is>
          <t xml:space="preserve"/>
        </is>
      </c>
      <c r="U640" s="0" t="inlineStr">
        <is>
          <t xml:space="preserve"/>
        </is>
      </c>
      <c r="V640" s="0" t="inlineStr">
        <is>
          <t xml:space="preserve"/>
        </is>
      </c>
      <c r="W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>
        <f>IF(C641="","",IFERROR(LOOKUP(2,1/(($C$2:$C$1001=C641)*($Q$2:$Q$1001="win")),$O$2:$O$1001),""))</f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>
        <f>IF(N641="","",IF(OR(ISNUMBER(SEARCH("狼",N641)),ISNUMBER(SEARCH("石像鬼",N641)),ISNUMBER(SEARCH("恶灵骑士",N641)),ISNUMBER(SEARCH("黑蝙蝠",N641)),ISNUMBER(SEARCH("血月使徒",N641))),"werewolves","villagers"))</f>
      </c>
      <c r="P641" s="0" t="inlineStr">
        <is>
          <t xml:space="preserve"/>
        </is>
      </c>
      <c r="Q641" s="0">
        <f>IF(P641="","",IF(ROUND(P641,2)=5,"win","loss"))</f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>
        <f>IF(C642="","",IFERROR(LOOKUP(2,1/(($C$2:$C$1001=C642)*($Q$2:$Q$1001="win")),$O$2:$O$1001),""))</f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>
        <f>IF(N642="","",IF(OR(ISNUMBER(SEARCH("狼",N642)),ISNUMBER(SEARCH("石像鬼",N642)),ISNUMBER(SEARCH("恶灵骑士",N642)),ISNUMBER(SEARCH("黑蝙蝠",N642)),ISNUMBER(SEARCH("血月使徒",N642))),"werewolves","villagers"))</f>
      </c>
      <c r="P642" s="0" t="inlineStr">
        <is>
          <t xml:space="preserve"/>
        </is>
      </c>
      <c r="Q642" s="0">
        <f>IF(P642="","",IF(ROUND(P642,2)=5,"win","loss"))</f>
      </c>
      <c r="R642" s="0" t="inlineStr">
        <is>
          <t xml:space="preserve"/>
        </is>
      </c>
      <c r="S642" s="0" t="inlineStr">
        <is>
          <t xml:space="preserve"/>
        </is>
      </c>
      <c r="T642" s="0" t="inlineStr">
        <is>
          <t xml:space="preserve"/>
        </is>
      </c>
      <c r="U642" s="0" t="inlineStr">
        <is>
          <t xml:space="preserve"/>
        </is>
      </c>
      <c r="V642" s="0" t="inlineStr">
        <is>
          <t xml:space="preserve"/>
        </is>
      </c>
      <c r="W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>
        <f>IF(C643="","",IFERROR(LOOKUP(2,1/(($C$2:$C$1001=C643)*($Q$2:$Q$1001="win")),$O$2:$O$1001),""))</f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>
        <f>IF(N643="","",IF(OR(ISNUMBER(SEARCH("狼",N643)),ISNUMBER(SEARCH("石像鬼",N643)),ISNUMBER(SEARCH("恶灵骑士",N643)),ISNUMBER(SEARCH("黑蝙蝠",N643)),ISNUMBER(SEARCH("血月使徒",N643))),"werewolves","villagers"))</f>
      </c>
      <c r="P643" s="0" t="inlineStr">
        <is>
          <t xml:space="preserve"/>
        </is>
      </c>
      <c r="Q643" s="0">
        <f>IF(P643="","",IF(ROUND(P643,2)=5,"win","loss"))</f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>
        <f>IF(C644="","",IFERROR(LOOKUP(2,1/(($C$2:$C$1001=C644)*($Q$2:$Q$1001="win")),$O$2:$O$1001),""))</f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>
        <f>IF(N644="","",IF(OR(ISNUMBER(SEARCH("狼",N644)),ISNUMBER(SEARCH("石像鬼",N644)),ISNUMBER(SEARCH("恶灵骑士",N644)),ISNUMBER(SEARCH("黑蝙蝠",N644)),ISNUMBER(SEARCH("血月使徒",N644))),"werewolves","villagers"))</f>
      </c>
      <c r="P644" s="0" t="inlineStr">
        <is>
          <t xml:space="preserve"/>
        </is>
      </c>
      <c r="Q644" s="0">
        <f>IF(P644="","",IF(ROUND(P644,2)=5,"win","loss"))</f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>
        <f>IF(C645="","",IFERROR(LOOKUP(2,1/(($C$2:$C$1001=C645)*($Q$2:$Q$1001="win")),$O$2:$O$1001),""))</f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>
        <f>IF(N645="","",IF(OR(ISNUMBER(SEARCH("狼",N645)),ISNUMBER(SEARCH("石像鬼",N645)),ISNUMBER(SEARCH("恶灵骑士",N645)),ISNUMBER(SEARCH("黑蝙蝠",N645)),ISNUMBER(SEARCH("血月使徒",N645))),"werewolves","villagers"))</f>
      </c>
      <c r="P645" s="0" t="inlineStr">
        <is>
          <t xml:space="preserve"/>
        </is>
      </c>
      <c r="Q645" s="0">
        <f>IF(P645="","",IF(ROUND(P645,2)=5,"win","loss"))</f>
      </c>
      <c r="R645" s="0" t="inlineStr">
        <is>
          <t xml:space="preserve"/>
        </is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>
        <f>IF(C646="","",IFERROR(LOOKUP(2,1/(($C$2:$C$1001=C646)*($Q$2:$Q$1001="win")),$O$2:$O$1001),""))</f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>
        <f>IF(N646="","",IF(OR(ISNUMBER(SEARCH("狼",N646)),ISNUMBER(SEARCH("石像鬼",N646)),ISNUMBER(SEARCH("恶灵骑士",N646)),ISNUMBER(SEARCH("黑蝙蝠",N646)),ISNUMBER(SEARCH("血月使徒",N646))),"werewolves","villagers"))</f>
      </c>
      <c r="P646" s="0" t="inlineStr">
        <is>
          <t xml:space="preserve"/>
        </is>
      </c>
      <c r="Q646" s="0">
        <f>IF(P646="","",IF(ROUND(P646,2)=5,"win","loss"))</f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>
        <f>IF(C647="","",IFERROR(LOOKUP(2,1/(($C$2:$C$1001=C647)*($Q$2:$Q$1001="win")),$O$2:$O$1001),""))</f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>
        <f>IF(N647="","",IF(OR(ISNUMBER(SEARCH("狼",N647)),ISNUMBER(SEARCH("石像鬼",N647)),ISNUMBER(SEARCH("恶灵骑士",N647)),ISNUMBER(SEARCH("黑蝙蝠",N647)),ISNUMBER(SEARCH("血月使徒",N647))),"werewolves","villagers"))</f>
      </c>
      <c r="P647" s="0" t="inlineStr">
        <is>
          <t xml:space="preserve"/>
        </is>
      </c>
      <c r="Q647" s="0">
        <f>IF(P647="","",IF(ROUND(P647,2)=5,"win","loss"))</f>
      </c>
      <c r="R647" s="0" t="inlineStr">
        <is>
          <t xml:space="preserve"/>
        </is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>
        <f>IF(C648="","",IFERROR(LOOKUP(2,1/(($C$2:$C$1001=C648)*($Q$2:$Q$1001="win")),$O$2:$O$1001),""))</f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>
        <f>IF(N648="","",IF(OR(ISNUMBER(SEARCH("狼",N648)),ISNUMBER(SEARCH("石像鬼",N648)),ISNUMBER(SEARCH("恶灵骑士",N648)),ISNUMBER(SEARCH("黑蝙蝠",N648)),ISNUMBER(SEARCH("血月使徒",N648))),"werewolves","villagers"))</f>
      </c>
      <c r="P648" s="0" t="inlineStr">
        <is>
          <t xml:space="preserve"/>
        </is>
      </c>
      <c r="Q648" s="0">
        <f>IF(P648="","",IF(ROUND(P648,2)=5,"win","loss"))</f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>
        <f>IF(C649="","",IFERROR(LOOKUP(2,1/(($C$2:$C$1001=C649)*($Q$2:$Q$1001="win")),$O$2:$O$1001),""))</f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>
        <f>IF(N649="","",IF(OR(ISNUMBER(SEARCH("狼",N649)),ISNUMBER(SEARCH("石像鬼",N649)),ISNUMBER(SEARCH("恶灵骑士",N649)),ISNUMBER(SEARCH("黑蝙蝠",N649)),ISNUMBER(SEARCH("血月使徒",N649))),"werewolves","villagers"))</f>
      </c>
      <c r="P649" s="0" t="inlineStr">
        <is>
          <t xml:space="preserve"/>
        </is>
      </c>
      <c r="Q649" s="0">
        <f>IF(P649="","",IF(ROUND(P649,2)=5,"win","loss"))</f>
      </c>
      <c r="R649" s="0" t="inlineStr">
        <is>
          <t xml:space="preserve"/>
        </is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>
        <f>IF(C650="","",IFERROR(LOOKUP(2,1/(($C$2:$C$1001=C650)*($Q$2:$Q$1001="win")),$O$2:$O$1001),""))</f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>
        <f>IF(N650="","",IF(OR(ISNUMBER(SEARCH("狼",N650)),ISNUMBER(SEARCH("石像鬼",N650)),ISNUMBER(SEARCH("恶灵骑士",N650)),ISNUMBER(SEARCH("黑蝙蝠",N650)),ISNUMBER(SEARCH("血月使徒",N650))),"werewolves","villagers"))</f>
      </c>
      <c r="P650" s="0" t="inlineStr">
        <is>
          <t xml:space="preserve"/>
        </is>
      </c>
      <c r="Q650" s="0">
        <f>IF(P650="","",IF(ROUND(P650,2)=5,"win","loss"))</f>
      </c>
      <c r="R650" s="0" t="inlineStr">
        <is>
          <t xml:space="preserve"/>
        </is>
      </c>
      <c r="S650" s="0" t="inlineStr">
        <is>
          <t xml:space="preserve"/>
        </is>
      </c>
      <c r="T650" s="0" t="inlineStr">
        <is>
          <t xml:space="preserve"/>
        </is>
      </c>
      <c r="U650" s="0" t="inlineStr">
        <is>
          <t xml:space="preserve"/>
        </is>
      </c>
      <c r="V650" s="0" t="inlineStr">
        <is>
          <t xml:space="preserve"/>
        </is>
      </c>
      <c r="W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>
        <f>IF(C651="","",IFERROR(LOOKUP(2,1/(($C$2:$C$1001=C651)*($Q$2:$Q$1001="win")),$O$2:$O$1001),""))</f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>
        <f>IF(N651="","",IF(OR(ISNUMBER(SEARCH("狼",N651)),ISNUMBER(SEARCH("石像鬼",N651)),ISNUMBER(SEARCH("恶灵骑士",N651)),ISNUMBER(SEARCH("黑蝙蝠",N651)),ISNUMBER(SEARCH("血月使徒",N651))),"werewolves","villagers"))</f>
      </c>
      <c r="P651" s="0" t="inlineStr">
        <is>
          <t xml:space="preserve"/>
        </is>
      </c>
      <c r="Q651" s="0">
        <f>IF(P651="","",IF(ROUND(P651,2)=5,"win","loss"))</f>
      </c>
      <c r="R651" s="0" t="inlineStr">
        <is>
          <t xml:space="preserve"/>
        </is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>
        <f>IF(C652="","",IFERROR(LOOKUP(2,1/(($C$2:$C$1001=C652)*($Q$2:$Q$1001="win")),$O$2:$O$1001),""))</f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>
        <f>IF(N652="","",IF(OR(ISNUMBER(SEARCH("狼",N652)),ISNUMBER(SEARCH("石像鬼",N652)),ISNUMBER(SEARCH("恶灵骑士",N652)),ISNUMBER(SEARCH("黑蝙蝠",N652)),ISNUMBER(SEARCH("血月使徒",N652))),"werewolves","villagers"))</f>
      </c>
      <c r="P652" s="0" t="inlineStr">
        <is>
          <t xml:space="preserve"/>
        </is>
      </c>
      <c r="Q652" s="0">
        <f>IF(P652="","",IF(ROUND(P652,2)=5,"win","loss"))</f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>
        <f>IF(C653="","",IFERROR(LOOKUP(2,1/(($C$2:$C$1001=C653)*($Q$2:$Q$1001="win")),$O$2:$O$1001),""))</f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>
        <f>IF(N653="","",IF(OR(ISNUMBER(SEARCH("狼",N653)),ISNUMBER(SEARCH("石像鬼",N653)),ISNUMBER(SEARCH("恶灵骑士",N653)),ISNUMBER(SEARCH("黑蝙蝠",N653)),ISNUMBER(SEARCH("血月使徒",N653))),"werewolves","villagers"))</f>
      </c>
      <c r="P653" s="0" t="inlineStr">
        <is>
          <t xml:space="preserve"/>
        </is>
      </c>
      <c r="Q653" s="0">
        <f>IF(P653="","",IF(ROUND(P653,2)=5,"win","loss"))</f>
      </c>
      <c r="R653" s="0" t="inlineStr">
        <is>
          <t xml:space="preserve"/>
        </is>
      </c>
      <c r="S653" s="0" t="inlineStr">
        <is>
          <t xml:space="preserve"/>
        </is>
      </c>
      <c r="T653" s="0" t="inlineStr">
        <is>
          <t xml:space="preserve"/>
        </is>
      </c>
      <c r="U653" s="0" t="inlineStr">
        <is>
          <t xml:space="preserve"/>
        </is>
      </c>
      <c r="V653" s="0" t="inlineStr">
        <is>
          <t xml:space="preserve"/>
        </is>
      </c>
      <c r="W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>
        <f>IF(C654="","",IFERROR(LOOKUP(2,1/(($C$2:$C$1001=C654)*($Q$2:$Q$1001="win")),$O$2:$O$1001),""))</f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>
        <f>IF(N654="","",IF(OR(ISNUMBER(SEARCH("狼",N654)),ISNUMBER(SEARCH("石像鬼",N654)),ISNUMBER(SEARCH("恶灵骑士",N654)),ISNUMBER(SEARCH("黑蝙蝠",N654)),ISNUMBER(SEARCH("血月使徒",N654))),"werewolves","villagers"))</f>
      </c>
      <c r="P654" s="0" t="inlineStr">
        <is>
          <t xml:space="preserve"/>
        </is>
      </c>
      <c r="Q654" s="0">
        <f>IF(P654="","",IF(ROUND(P654,2)=5,"win","loss"))</f>
      </c>
      <c r="R654" s="0" t="inlineStr">
        <is>
          <t xml:space="preserve"/>
        </is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>
        <f>IF(C655="","",IFERROR(LOOKUP(2,1/(($C$2:$C$1001=C655)*($Q$2:$Q$1001="win")),$O$2:$O$1001),""))</f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>
        <f>IF(N655="","",IF(OR(ISNUMBER(SEARCH("狼",N655)),ISNUMBER(SEARCH("石像鬼",N655)),ISNUMBER(SEARCH("恶灵骑士",N655)),ISNUMBER(SEARCH("黑蝙蝠",N655)),ISNUMBER(SEARCH("血月使徒",N655))),"werewolves","villagers"))</f>
      </c>
      <c r="P655" s="0" t="inlineStr">
        <is>
          <t xml:space="preserve"/>
        </is>
      </c>
      <c r="Q655" s="0">
        <f>IF(P655="","",IF(ROUND(P655,2)=5,"win","loss"))</f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>
        <f>IF(C656="","",IFERROR(LOOKUP(2,1/(($C$2:$C$1001=C656)*($Q$2:$Q$1001="win")),$O$2:$O$1001),""))</f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>
        <f>IF(N656="","",IF(OR(ISNUMBER(SEARCH("狼",N656)),ISNUMBER(SEARCH("石像鬼",N656)),ISNUMBER(SEARCH("恶灵骑士",N656)),ISNUMBER(SEARCH("黑蝙蝠",N656)),ISNUMBER(SEARCH("血月使徒",N656))),"werewolves","villagers"))</f>
      </c>
      <c r="P656" s="0" t="inlineStr">
        <is>
          <t xml:space="preserve"/>
        </is>
      </c>
      <c r="Q656" s="0">
        <f>IF(P656="","",IF(ROUND(P656,2)=5,"win","loss"))</f>
      </c>
      <c r="R656" s="0" t="inlineStr">
        <is>
          <t xml:space="preserve"/>
        </is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>
        <f>IF(C657="","",IFERROR(LOOKUP(2,1/(($C$2:$C$1001=C657)*($Q$2:$Q$1001="win")),$O$2:$O$1001),""))</f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>
        <f>IF(N657="","",IF(OR(ISNUMBER(SEARCH("狼",N657)),ISNUMBER(SEARCH("石像鬼",N657)),ISNUMBER(SEARCH("恶灵骑士",N657)),ISNUMBER(SEARCH("黑蝙蝠",N657)),ISNUMBER(SEARCH("血月使徒",N657))),"werewolves","villagers"))</f>
      </c>
      <c r="P657" s="0" t="inlineStr">
        <is>
          <t xml:space="preserve"/>
        </is>
      </c>
      <c r="Q657" s="0">
        <f>IF(P657="","",IF(ROUND(P657,2)=5,"win","loss"))</f>
      </c>
      <c r="R657" s="0" t="inlineStr">
        <is>
          <t xml:space="preserve"/>
        </is>
      </c>
      <c r="S657" s="0" t="inlineStr">
        <is>
          <t xml:space="preserve"/>
        </is>
      </c>
      <c r="T657" s="0" t="inlineStr">
        <is>
          <t xml:space="preserve"/>
        </is>
      </c>
      <c r="U657" s="0" t="inlineStr">
        <is>
          <t xml:space="preserve"/>
        </is>
      </c>
      <c r="V657" s="0" t="inlineStr">
        <is>
          <t xml:space="preserve"/>
        </is>
      </c>
      <c r="W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>
        <f>IF(C658="","",IFERROR(LOOKUP(2,1/(($C$2:$C$1001=C658)*($Q$2:$Q$1001="win")),$O$2:$O$1001),""))</f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>
        <f>IF(N658="","",IF(OR(ISNUMBER(SEARCH("狼",N658)),ISNUMBER(SEARCH("石像鬼",N658)),ISNUMBER(SEARCH("恶灵骑士",N658)),ISNUMBER(SEARCH("黑蝙蝠",N658)),ISNUMBER(SEARCH("血月使徒",N658))),"werewolves","villagers"))</f>
      </c>
      <c r="P658" s="0" t="inlineStr">
        <is>
          <t xml:space="preserve"/>
        </is>
      </c>
      <c r="Q658" s="0">
        <f>IF(P658="","",IF(ROUND(P658,2)=5,"win","loss"))</f>
      </c>
      <c r="R658" s="0" t="inlineStr">
        <is>
          <t xml:space="preserve"/>
        </is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>
        <f>IF(C659="","",IFERROR(LOOKUP(2,1/(($C$2:$C$1001=C659)*($Q$2:$Q$1001="win")),$O$2:$O$1001),""))</f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>
        <f>IF(N659="","",IF(OR(ISNUMBER(SEARCH("狼",N659)),ISNUMBER(SEARCH("石像鬼",N659)),ISNUMBER(SEARCH("恶灵骑士",N659)),ISNUMBER(SEARCH("黑蝙蝠",N659)),ISNUMBER(SEARCH("血月使徒",N659))),"werewolves","villagers"))</f>
      </c>
      <c r="P659" s="0" t="inlineStr">
        <is>
          <t xml:space="preserve"/>
        </is>
      </c>
      <c r="Q659" s="0">
        <f>IF(P659="","",IF(ROUND(P659,2)=5,"win","loss"))</f>
      </c>
      <c r="R659" s="0" t="inlineStr">
        <is>
          <t xml:space="preserve"/>
        </is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>
        <f>IF(C660="","",IFERROR(LOOKUP(2,1/(($C$2:$C$1001=C660)*($Q$2:$Q$1001="win")),$O$2:$O$1001),""))</f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>
        <f>IF(N660="","",IF(OR(ISNUMBER(SEARCH("狼",N660)),ISNUMBER(SEARCH("石像鬼",N660)),ISNUMBER(SEARCH("恶灵骑士",N660)),ISNUMBER(SEARCH("黑蝙蝠",N660)),ISNUMBER(SEARCH("血月使徒",N660))),"werewolves","villagers"))</f>
      </c>
      <c r="P660" s="0" t="inlineStr">
        <is>
          <t xml:space="preserve"/>
        </is>
      </c>
      <c r="Q660" s="0">
        <f>IF(P660="","",IF(ROUND(P660,2)=5,"win","loss"))</f>
      </c>
      <c r="R660" s="0" t="inlineStr">
        <is>
          <t xml:space="preserve"/>
        </is>
      </c>
      <c r="S660" s="0" t="inlineStr">
        <is>
          <t xml:space="preserve"/>
        </is>
      </c>
      <c r="T660" s="0" t="inlineStr">
        <is>
          <t xml:space="preserve"/>
        </is>
      </c>
      <c r="U660" s="0" t="inlineStr">
        <is>
          <t xml:space="preserve"/>
        </is>
      </c>
      <c r="V660" s="0" t="inlineStr">
        <is>
          <t xml:space="preserve"/>
        </is>
      </c>
      <c r="W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>
        <f>IF(C661="","",IFERROR(LOOKUP(2,1/(($C$2:$C$1001=C661)*($Q$2:$Q$1001="win")),$O$2:$O$1001),""))</f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>
        <f>IF(N661="","",IF(OR(ISNUMBER(SEARCH("狼",N661)),ISNUMBER(SEARCH("石像鬼",N661)),ISNUMBER(SEARCH("恶灵骑士",N661)),ISNUMBER(SEARCH("黑蝙蝠",N661)),ISNUMBER(SEARCH("血月使徒",N661))),"werewolves","villagers"))</f>
      </c>
      <c r="P661" s="0" t="inlineStr">
        <is>
          <t xml:space="preserve"/>
        </is>
      </c>
      <c r="Q661" s="0">
        <f>IF(P661="","",IF(ROUND(P661,2)=5,"win","loss"))</f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>
        <f>IF(C662="","",IFERROR(LOOKUP(2,1/(($C$2:$C$1001=C662)*($Q$2:$Q$1001="win")),$O$2:$O$1001),""))</f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>
        <f>IF(N662="","",IF(OR(ISNUMBER(SEARCH("狼",N662)),ISNUMBER(SEARCH("石像鬼",N662)),ISNUMBER(SEARCH("恶灵骑士",N662)),ISNUMBER(SEARCH("黑蝙蝠",N662)),ISNUMBER(SEARCH("血月使徒",N662))),"werewolves","villagers"))</f>
      </c>
      <c r="P662" s="0" t="inlineStr">
        <is>
          <t xml:space="preserve"/>
        </is>
      </c>
      <c r="Q662" s="0">
        <f>IF(P662="","",IF(ROUND(P662,2)=5,"win","loss"))</f>
      </c>
      <c r="R662" s="0" t="inlineStr">
        <is>
          <t xml:space="preserve"/>
        </is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>
        <f>IF(C663="","",IFERROR(LOOKUP(2,1/(($C$2:$C$1001=C663)*($Q$2:$Q$1001="win")),$O$2:$O$1001),""))</f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>
        <f>IF(N663="","",IF(OR(ISNUMBER(SEARCH("狼",N663)),ISNUMBER(SEARCH("石像鬼",N663)),ISNUMBER(SEARCH("恶灵骑士",N663)),ISNUMBER(SEARCH("黑蝙蝠",N663)),ISNUMBER(SEARCH("血月使徒",N663))),"werewolves","villagers"))</f>
      </c>
      <c r="P663" s="0" t="inlineStr">
        <is>
          <t xml:space="preserve"/>
        </is>
      </c>
      <c r="Q663" s="0">
        <f>IF(P663="","",IF(ROUND(P663,2)=5,"win","loss"))</f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>
        <f>IF(C664="","",IFERROR(LOOKUP(2,1/(($C$2:$C$1001=C664)*($Q$2:$Q$1001="win")),$O$2:$O$1001),""))</f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>
        <f>IF(N664="","",IF(OR(ISNUMBER(SEARCH("狼",N664)),ISNUMBER(SEARCH("石像鬼",N664)),ISNUMBER(SEARCH("恶灵骑士",N664)),ISNUMBER(SEARCH("黑蝙蝠",N664)),ISNUMBER(SEARCH("血月使徒",N664))),"werewolves","villagers"))</f>
      </c>
      <c r="P664" s="0" t="inlineStr">
        <is>
          <t xml:space="preserve"/>
        </is>
      </c>
      <c r="Q664" s="0">
        <f>IF(P664="","",IF(ROUND(P664,2)=5,"win","loss"))</f>
      </c>
      <c r="R664" s="0" t="inlineStr">
        <is>
          <t xml:space="preserve"/>
        </is>
      </c>
      <c r="S664" s="0" t="inlineStr">
        <is>
          <t xml:space="preserve"/>
        </is>
      </c>
      <c r="T664" s="0" t="inlineStr">
        <is>
          <t xml:space="preserve"/>
        </is>
      </c>
      <c r="U664" s="0" t="inlineStr">
        <is>
          <t xml:space="preserve"/>
        </is>
      </c>
      <c r="V664" s="0" t="inlineStr">
        <is>
          <t xml:space="preserve"/>
        </is>
      </c>
      <c r="W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>
        <f>IF(C665="","",IFERROR(LOOKUP(2,1/(($C$2:$C$1001=C665)*($Q$2:$Q$1001="win")),$O$2:$O$1001),""))</f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>
        <f>IF(N665="","",IF(OR(ISNUMBER(SEARCH("狼",N665)),ISNUMBER(SEARCH("石像鬼",N665)),ISNUMBER(SEARCH("恶灵骑士",N665)),ISNUMBER(SEARCH("黑蝙蝠",N665)),ISNUMBER(SEARCH("血月使徒",N665))),"werewolves","villagers"))</f>
      </c>
      <c r="P665" s="0" t="inlineStr">
        <is>
          <t xml:space="preserve"/>
        </is>
      </c>
      <c r="Q665" s="0">
        <f>IF(P665="","",IF(ROUND(P665,2)=5,"win","loss"))</f>
      </c>
      <c r="R665" s="0" t="inlineStr">
        <is>
          <t xml:space="preserve"/>
        </is>
      </c>
      <c r="S665" s="0" t="inlineStr">
        <is>
          <t xml:space="preserve"/>
        </is>
      </c>
      <c r="T665" s="0" t="inlineStr">
        <is>
          <t xml:space="preserve"/>
        </is>
      </c>
      <c r="U665" s="0" t="inlineStr">
        <is>
          <t xml:space="preserve"/>
        </is>
      </c>
      <c r="V665" s="0" t="inlineStr">
        <is>
          <t xml:space="preserve"/>
        </is>
      </c>
      <c r="W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>
        <f>IF(C666="","",IFERROR(LOOKUP(2,1/(($C$2:$C$1001=C666)*($Q$2:$Q$1001="win")),$O$2:$O$1001),""))</f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>
        <f>IF(N666="","",IF(OR(ISNUMBER(SEARCH("狼",N666)),ISNUMBER(SEARCH("石像鬼",N666)),ISNUMBER(SEARCH("恶灵骑士",N666)),ISNUMBER(SEARCH("黑蝙蝠",N666)),ISNUMBER(SEARCH("血月使徒",N666))),"werewolves","villagers"))</f>
      </c>
      <c r="P666" s="0" t="inlineStr">
        <is>
          <t xml:space="preserve"/>
        </is>
      </c>
      <c r="Q666" s="0">
        <f>IF(P666="","",IF(ROUND(P666,2)=5,"win","loss"))</f>
      </c>
      <c r="R666" s="0" t="inlineStr">
        <is>
          <t xml:space="preserve"/>
        </is>
      </c>
      <c r="S666" s="0" t="inlineStr">
        <is>
          <t xml:space="preserve"/>
        </is>
      </c>
      <c r="T666" s="0" t="inlineStr">
        <is>
          <t xml:space="preserve"/>
        </is>
      </c>
      <c r="U666" s="0" t="inlineStr">
        <is>
          <t xml:space="preserve"/>
        </is>
      </c>
      <c r="V666" s="0" t="inlineStr">
        <is>
          <t xml:space="preserve"/>
        </is>
      </c>
      <c r="W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>
        <f>IF(C667="","",IFERROR(LOOKUP(2,1/(($C$2:$C$1001=C667)*($Q$2:$Q$1001="win")),$O$2:$O$1001),""))</f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>
        <f>IF(N667="","",IF(OR(ISNUMBER(SEARCH("狼",N667)),ISNUMBER(SEARCH("石像鬼",N667)),ISNUMBER(SEARCH("恶灵骑士",N667)),ISNUMBER(SEARCH("黑蝙蝠",N667)),ISNUMBER(SEARCH("血月使徒",N667))),"werewolves","villagers"))</f>
      </c>
      <c r="P667" s="0" t="inlineStr">
        <is>
          <t xml:space="preserve"/>
        </is>
      </c>
      <c r="Q667" s="0">
        <f>IF(P667="","",IF(ROUND(P667,2)=5,"win","loss"))</f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>
        <f>IF(C668="","",IFERROR(LOOKUP(2,1/(($C$2:$C$1001=C668)*($Q$2:$Q$1001="win")),$O$2:$O$1001),""))</f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>
        <f>IF(N668="","",IF(OR(ISNUMBER(SEARCH("狼",N668)),ISNUMBER(SEARCH("石像鬼",N668)),ISNUMBER(SEARCH("恶灵骑士",N668)),ISNUMBER(SEARCH("黑蝙蝠",N668)),ISNUMBER(SEARCH("血月使徒",N668))),"werewolves","villagers"))</f>
      </c>
      <c r="P668" s="0" t="inlineStr">
        <is>
          <t xml:space="preserve"/>
        </is>
      </c>
      <c r="Q668" s="0">
        <f>IF(P668="","",IF(ROUND(P668,2)=5,"win","loss"))</f>
      </c>
      <c r="R668" s="0" t="inlineStr">
        <is>
          <t xml:space="preserve"/>
        </is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>
        <f>IF(C669="","",IFERROR(LOOKUP(2,1/(($C$2:$C$1001=C669)*($Q$2:$Q$1001="win")),$O$2:$O$1001),""))</f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>
        <f>IF(N669="","",IF(OR(ISNUMBER(SEARCH("狼",N669)),ISNUMBER(SEARCH("石像鬼",N669)),ISNUMBER(SEARCH("恶灵骑士",N669)),ISNUMBER(SEARCH("黑蝙蝠",N669)),ISNUMBER(SEARCH("血月使徒",N669))),"werewolves","villagers"))</f>
      </c>
      <c r="P669" s="0" t="inlineStr">
        <is>
          <t xml:space="preserve"/>
        </is>
      </c>
      <c r="Q669" s="0">
        <f>IF(P669="","",IF(ROUND(P669,2)=5,"win","loss"))</f>
      </c>
      <c r="R669" s="0" t="inlineStr">
        <is>
          <t xml:space="preserve"/>
        </is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>
        <f>IF(C670="","",IFERROR(LOOKUP(2,1/(($C$2:$C$1001=C670)*($Q$2:$Q$1001="win")),$O$2:$O$1001),""))</f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>
        <f>IF(N670="","",IF(OR(ISNUMBER(SEARCH("狼",N670)),ISNUMBER(SEARCH("石像鬼",N670)),ISNUMBER(SEARCH("恶灵骑士",N670)),ISNUMBER(SEARCH("黑蝙蝠",N670)),ISNUMBER(SEARCH("血月使徒",N670))),"werewolves","villagers"))</f>
      </c>
      <c r="P670" s="0" t="inlineStr">
        <is>
          <t xml:space="preserve"/>
        </is>
      </c>
      <c r="Q670" s="0">
        <f>IF(P670="","",IF(ROUND(P670,2)=5,"win","loss"))</f>
      </c>
      <c r="R670" s="0" t="inlineStr">
        <is>
          <t xml:space="preserve"/>
        </is>
      </c>
      <c r="S670" s="0" t="inlineStr">
        <is>
          <t xml:space="preserve"/>
        </is>
      </c>
      <c r="T670" s="0" t="inlineStr">
        <is>
          <t xml:space="preserve"/>
        </is>
      </c>
      <c r="U670" s="0" t="inlineStr">
        <is>
          <t xml:space="preserve"/>
        </is>
      </c>
      <c r="V670" s="0" t="inlineStr">
        <is>
          <t xml:space="preserve"/>
        </is>
      </c>
      <c r="W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>
        <f>IF(C671="","",IFERROR(LOOKUP(2,1/(($C$2:$C$1001=C671)*($Q$2:$Q$1001="win")),$O$2:$O$1001),""))</f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>
        <f>IF(N671="","",IF(OR(ISNUMBER(SEARCH("狼",N671)),ISNUMBER(SEARCH("石像鬼",N671)),ISNUMBER(SEARCH("恶灵骑士",N671)),ISNUMBER(SEARCH("黑蝙蝠",N671)),ISNUMBER(SEARCH("血月使徒",N671))),"werewolves","villagers"))</f>
      </c>
      <c r="P671" s="0" t="inlineStr">
        <is>
          <t xml:space="preserve"/>
        </is>
      </c>
      <c r="Q671" s="0">
        <f>IF(P671="","",IF(ROUND(P671,2)=5,"win","loss"))</f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>
        <f>IF(C672="","",IFERROR(LOOKUP(2,1/(($C$2:$C$1001=C672)*($Q$2:$Q$1001="win")),$O$2:$O$1001),""))</f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>
        <f>IF(N672="","",IF(OR(ISNUMBER(SEARCH("狼",N672)),ISNUMBER(SEARCH("石像鬼",N672)),ISNUMBER(SEARCH("恶灵骑士",N672)),ISNUMBER(SEARCH("黑蝙蝠",N672)),ISNUMBER(SEARCH("血月使徒",N672))),"werewolves","villagers"))</f>
      </c>
      <c r="P672" s="0" t="inlineStr">
        <is>
          <t xml:space="preserve"/>
        </is>
      </c>
      <c r="Q672" s="0">
        <f>IF(P672="","",IF(ROUND(P672,2)=5,"win","loss"))</f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>
        <f>IF(C673="","",IFERROR(LOOKUP(2,1/(($C$2:$C$1001=C673)*($Q$2:$Q$1001="win")),$O$2:$O$1001),""))</f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>
        <f>IF(N673="","",IF(OR(ISNUMBER(SEARCH("狼",N673)),ISNUMBER(SEARCH("石像鬼",N673)),ISNUMBER(SEARCH("恶灵骑士",N673)),ISNUMBER(SEARCH("黑蝙蝠",N673)),ISNUMBER(SEARCH("血月使徒",N673))),"werewolves","villagers"))</f>
      </c>
      <c r="P673" s="0" t="inlineStr">
        <is>
          <t xml:space="preserve"/>
        </is>
      </c>
      <c r="Q673" s="0">
        <f>IF(P673="","",IF(ROUND(P673,2)=5,"win","loss"))</f>
      </c>
      <c r="R673" s="0" t="inlineStr">
        <is>
          <t xml:space="preserve"/>
        </is>
      </c>
      <c r="S673" s="0" t="inlineStr">
        <is>
          <t xml:space="preserve"/>
        </is>
      </c>
      <c r="T673" s="0" t="inlineStr">
        <is>
          <t xml:space="preserve"/>
        </is>
      </c>
      <c r="U673" s="0" t="inlineStr">
        <is>
          <t xml:space="preserve"/>
        </is>
      </c>
      <c r="V673" s="0" t="inlineStr">
        <is>
          <t xml:space="preserve"/>
        </is>
      </c>
      <c r="W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>
        <f>IF(C674="","",IFERROR(LOOKUP(2,1/(($C$2:$C$1001=C674)*($Q$2:$Q$1001="win")),$O$2:$O$1001),""))</f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>
        <f>IF(N674="","",IF(OR(ISNUMBER(SEARCH("狼",N674)),ISNUMBER(SEARCH("石像鬼",N674)),ISNUMBER(SEARCH("恶灵骑士",N674)),ISNUMBER(SEARCH("黑蝙蝠",N674)),ISNUMBER(SEARCH("血月使徒",N674))),"werewolves","villagers"))</f>
      </c>
      <c r="P674" s="0" t="inlineStr">
        <is>
          <t xml:space="preserve"/>
        </is>
      </c>
      <c r="Q674" s="0">
        <f>IF(P674="","",IF(ROUND(P674,2)=5,"win","loss"))</f>
      </c>
      <c r="R674" s="0" t="inlineStr">
        <is>
          <t xml:space="preserve"/>
        </is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>
        <f>IF(C675="","",IFERROR(LOOKUP(2,1/(($C$2:$C$1001=C675)*($Q$2:$Q$1001="win")),$O$2:$O$1001),""))</f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>
        <f>IF(N675="","",IF(OR(ISNUMBER(SEARCH("狼",N675)),ISNUMBER(SEARCH("石像鬼",N675)),ISNUMBER(SEARCH("恶灵骑士",N675)),ISNUMBER(SEARCH("黑蝙蝠",N675)),ISNUMBER(SEARCH("血月使徒",N675))),"werewolves","villagers"))</f>
      </c>
      <c r="P675" s="0" t="inlineStr">
        <is>
          <t xml:space="preserve"/>
        </is>
      </c>
      <c r="Q675" s="0">
        <f>IF(P675="","",IF(ROUND(P675,2)=5,"win","loss"))</f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>
        <f>IF(C676="","",IFERROR(LOOKUP(2,1/(($C$2:$C$1001=C676)*($Q$2:$Q$1001="win")),$O$2:$O$1001),""))</f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>
        <f>IF(N676="","",IF(OR(ISNUMBER(SEARCH("狼",N676)),ISNUMBER(SEARCH("石像鬼",N676)),ISNUMBER(SEARCH("恶灵骑士",N676)),ISNUMBER(SEARCH("黑蝙蝠",N676)),ISNUMBER(SEARCH("血月使徒",N676))),"werewolves","villagers"))</f>
      </c>
      <c r="P676" s="0" t="inlineStr">
        <is>
          <t xml:space="preserve"/>
        </is>
      </c>
      <c r="Q676" s="0">
        <f>IF(P676="","",IF(ROUND(P676,2)=5,"win","loss"))</f>
      </c>
      <c r="R676" s="0" t="inlineStr">
        <is>
          <t xml:space="preserve"/>
        </is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>
        <f>IF(C677="","",IFERROR(LOOKUP(2,1/(($C$2:$C$1001=C677)*($Q$2:$Q$1001="win")),$O$2:$O$1001),""))</f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>
        <f>IF(N677="","",IF(OR(ISNUMBER(SEARCH("狼",N677)),ISNUMBER(SEARCH("石像鬼",N677)),ISNUMBER(SEARCH("恶灵骑士",N677)),ISNUMBER(SEARCH("黑蝙蝠",N677)),ISNUMBER(SEARCH("血月使徒",N677))),"werewolves","villagers"))</f>
      </c>
      <c r="P677" s="0" t="inlineStr">
        <is>
          <t xml:space="preserve"/>
        </is>
      </c>
      <c r="Q677" s="0">
        <f>IF(P677="","",IF(ROUND(P677,2)=5,"win","loss"))</f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>
        <f>IF(C678="","",IFERROR(LOOKUP(2,1/(($C$2:$C$1001=C678)*($Q$2:$Q$1001="win")),$O$2:$O$1001),""))</f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>
        <f>IF(N678="","",IF(OR(ISNUMBER(SEARCH("狼",N678)),ISNUMBER(SEARCH("石像鬼",N678)),ISNUMBER(SEARCH("恶灵骑士",N678)),ISNUMBER(SEARCH("黑蝙蝠",N678)),ISNUMBER(SEARCH("血月使徒",N678))),"werewolves","villagers"))</f>
      </c>
      <c r="P678" s="0" t="inlineStr">
        <is>
          <t xml:space="preserve"/>
        </is>
      </c>
      <c r="Q678" s="0">
        <f>IF(P678="","",IF(ROUND(P678,2)=5,"win","loss"))</f>
      </c>
      <c r="R678" s="0" t="inlineStr">
        <is>
          <t xml:space="preserve"/>
        </is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>
        <f>IF(C679="","",IFERROR(LOOKUP(2,1/(($C$2:$C$1001=C679)*($Q$2:$Q$1001="win")),$O$2:$O$1001),""))</f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>
        <f>IF(N679="","",IF(OR(ISNUMBER(SEARCH("狼",N679)),ISNUMBER(SEARCH("石像鬼",N679)),ISNUMBER(SEARCH("恶灵骑士",N679)),ISNUMBER(SEARCH("黑蝙蝠",N679)),ISNUMBER(SEARCH("血月使徒",N679))),"werewolves","villagers"))</f>
      </c>
      <c r="P679" s="0" t="inlineStr">
        <is>
          <t xml:space="preserve"/>
        </is>
      </c>
      <c r="Q679" s="0">
        <f>IF(P679="","",IF(ROUND(P679,2)=5,"win","loss"))</f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>
        <f>IF(C680="","",IFERROR(LOOKUP(2,1/(($C$2:$C$1001=C680)*($Q$2:$Q$1001="win")),$O$2:$O$1001),""))</f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>
        <f>IF(N680="","",IF(OR(ISNUMBER(SEARCH("狼",N680)),ISNUMBER(SEARCH("石像鬼",N680)),ISNUMBER(SEARCH("恶灵骑士",N680)),ISNUMBER(SEARCH("黑蝙蝠",N680)),ISNUMBER(SEARCH("血月使徒",N680))),"werewolves","villagers"))</f>
      </c>
      <c r="P680" s="0" t="inlineStr">
        <is>
          <t xml:space="preserve"/>
        </is>
      </c>
      <c r="Q680" s="0">
        <f>IF(P680="","",IF(ROUND(P680,2)=5,"win","loss"))</f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>
        <f>IF(C681="","",IFERROR(LOOKUP(2,1/(($C$2:$C$1001=C681)*($Q$2:$Q$1001="win")),$O$2:$O$1001),""))</f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>
        <f>IF(N681="","",IF(OR(ISNUMBER(SEARCH("狼",N681)),ISNUMBER(SEARCH("石像鬼",N681)),ISNUMBER(SEARCH("恶灵骑士",N681)),ISNUMBER(SEARCH("黑蝙蝠",N681)),ISNUMBER(SEARCH("血月使徒",N681))),"werewolves","villagers"))</f>
      </c>
      <c r="P681" s="0" t="inlineStr">
        <is>
          <t xml:space="preserve"/>
        </is>
      </c>
      <c r="Q681" s="0">
        <f>IF(P681="","",IF(ROUND(P681,2)=5,"win","loss"))</f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>
        <f>IF(C682="","",IFERROR(LOOKUP(2,1/(($C$2:$C$1001=C682)*($Q$2:$Q$1001="win")),$O$2:$O$1001),""))</f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>
        <f>IF(N682="","",IF(OR(ISNUMBER(SEARCH("狼",N682)),ISNUMBER(SEARCH("石像鬼",N682)),ISNUMBER(SEARCH("恶灵骑士",N682)),ISNUMBER(SEARCH("黑蝙蝠",N682)),ISNUMBER(SEARCH("血月使徒",N682))),"werewolves","villagers"))</f>
      </c>
      <c r="P682" s="0" t="inlineStr">
        <is>
          <t xml:space="preserve"/>
        </is>
      </c>
      <c r="Q682" s="0">
        <f>IF(P682="","",IF(ROUND(P682,2)=5,"win","loss"))</f>
      </c>
      <c r="R682" s="0" t="inlineStr">
        <is>
          <t xml:space="preserve"/>
        </is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>
        <f>IF(C683="","",IFERROR(LOOKUP(2,1/(($C$2:$C$1001=C683)*($Q$2:$Q$1001="win")),$O$2:$O$1001),""))</f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>
        <f>IF(N683="","",IF(OR(ISNUMBER(SEARCH("狼",N683)),ISNUMBER(SEARCH("石像鬼",N683)),ISNUMBER(SEARCH("恶灵骑士",N683)),ISNUMBER(SEARCH("黑蝙蝠",N683)),ISNUMBER(SEARCH("血月使徒",N683))),"werewolves","villagers"))</f>
      </c>
      <c r="P683" s="0" t="inlineStr">
        <is>
          <t xml:space="preserve"/>
        </is>
      </c>
      <c r="Q683" s="0">
        <f>IF(P683="","",IF(ROUND(P683,2)=5,"win","loss"))</f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>
        <f>IF(C684="","",IFERROR(LOOKUP(2,1/(($C$2:$C$1001=C684)*($Q$2:$Q$1001="win")),$O$2:$O$1001),""))</f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>
        <f>IF(N684="","",IF(OR(ISNUMBER(SEARCH("狼",N684)),ISNUMBER(SEARCH("石像鬼",N684)),ISNUMBER(SEARCH("恶灵骑士",N684)),ISNUMBER(SEARCH("黑蝙蝠",N684)),ISNUMBER(SEARCH("血月使徒",N684))),"werewolves","villagers"))</f>
      </c>
      <c r="P684" s="0" t="inlineStr">
        <is>
          <t xml:space="preserve"/>
        </is>
      </c>
      <c r="Q684" s="0">
        <f>IF(P684="","",IF(ROUND(P684,2)=5,"win","loss"))</f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>
        <f>IF(C685="","",IFERROR(LOOKUP(2,1/(($C$2:$C$1001=C685)*($Q$2:$Q$1001="win")),$O$2:$O$1001),""))</f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>
        <f>IF(N685="","",IF(OR(ISNUMBER(SEARCH("狼",N685)),ISNUMBER(SEARCH("石像鬼",N685)),ISNUMBER(SEARCH("恶灵骑士",N685)),ISNUMBER(SEARCH("黑蝙蝠",N685)),ISNUMBER(SEARCH("血月使徒",N685))),"werewolves","villagers"))</f>
      </c>
      <c r="P685" s="0" t="inlineStr">
        <is>
          <t xml:space="preserve"/>
        </is>
      </c>
      <c r="Q685" s="0">
        <f>IF(P685="","",IF(ROUND(P685,2)=5,"win","loss"))</f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>
        <f>IF(C686="","",IFERROR(LOOKUP(2,1/(($C$2:$C$1001=C686)*($Q$2:$Q$1001="win")),$O$2:$O$1001),""))</f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>
        <f>IF(N686="","",IF(OR(ISNUMBER(SEARCH("狼",N686)),ISNUMBER(SEARCH("石像鬼",N686)),ISNUMBER(SEARCH("恶灵骑士",N686)),ISNUMBER(SEARCH("黑蝙蝠",N686)),ISNUMBER(SEARCH("血月使徒",N686))),"werewolves","villagers"))</f>
      </c>
      <c r="P686" s="0" t="inlineStr">
        <is>
          <t xml:space="preserve"/>
        </is>
      </c>
      <c r="Q686" s="0">
        <f>IF(P686="","",IF(ROUND(P686,2)=5,"win","loss"))</f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>
        <f>IF(C687="","",IFERROR(LOOKUP(2,1/(($C$2:$C$1001=C687)*($Q$2:$Q$1001="win")),$O$2:$O$1001),""))</f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>
        <f>IF(N687="","",IF(OR(ISNUMBER(SEARCH("狼",N687)),ISNUMBER(SEARCH("石像鬼",N687)),ISNUMBER(SEARCH("恶灵骑士",N687)),ISNUMBER(SEARCH("黑蝙蝠",N687)),ISNUMBER(SEARCH("血月使徒",N687))),"werewolves","villagers"))</f>
      </c>
      <c r="P687" s="0" t="inlineStr">
        <is>
          <t xml:space="preserve"/>
        </is>
      </c>
      <c r="Q687" s="0">
        <f>IF(P687="","",IF(ROUND(P687,2)=5,"win","loss"))</f>
      </c>
      <c r="R687" s="0" t="inlineStr">
        <is>
          <t xml:space="preserve"/>
        </is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>
        <f>IF(C688="","",IFERROR(LOOKUP(2,1/(($C$2:$C$1001=C688)*($Q$2:$Q$1001="win")),$O$2:$O$1001),""))</f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>
        <f>IF(N688="","",IF(OR(ISNUMBER(SEARCH("狼",N688)),ISNUMBER(SEARCH("石像鬼",N688)),ISNUMBER(SEARCH("恶灵骑士",N688)),ISNUMBER(SEARCH("黑蝙蝠",N688)),ISNUMBER(SEARCH("血月使徒",N688))),"werewolves","villagers"))</f>
      </c>
      <c r="P688" s="0" t="inlineStr">
        <is>
          <t xml:space="preserve"/>
        </is>
      </c>
      <c r="Q688" s="0">
        <f>IF(P688="","",IF(ROUND(P688,2)=5,"win","loss"))</f>
      </c>
      <c r="R688" s="0" t="inlineStr">
        <is>
          <t xml:space="preserve"/>
        </is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>
        <f>IF(C689="","",IFERROR(LOOKUP(2,1/(($C$2:$C$1001=C689)*($Q$2:$Q$1001="win")),$O$2:$O$1001),""))</f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>
        <f>IF(N689="","",IF(OR(ISNUMBER(SEARCH("狼",N689)),ISNUMBER(SEARCH("石像鬼",N689)),ISNUMBER(SEARCH("恶灵骑士",N689)),ISNUMBER(SEARCH("黑蝙蝠",N689)),ISNUMBER(SEARCH("血月使徒",N689))),"werewolves","villagers"))</f>
      </c>
      <c r="P689" s="0" t="inlineStr">
        <is>
          <t xml:space="preserve"/>
        </is>
      </c>
      <c r="Q689" s="0">
        <f>IF(P689="","",IF(ROUND(P689,2)=5,"win","loss"))</f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>
        <f>IF(C690="","",IFERROR(LOOKUP(2,1/(($C$2:$C$1001=C690)*($Q$2:$Q$1001="win")),$O$2:$O$1001),""))</f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>
        <f>IF(N690="","",IF(OR(ISNUMBER(SEARCH("狼",N690)),ISNUMBER(SEARCH("石像鬼",N690)),ISNUMBER(SEARCH("恶灵骑士",N690)),ISNUMBER(SEARCH("黑蝙蝠",N690)),ISNUMBER(SEARCH("血月使徒",N690))),"werewolves","villagers"))</f>
      </c>
      <c r="P690" s="0" t="inlineStr">
        <is>
          <t xml:space="preserve"/>
        </is>
      </c>
      <c r="Q690" s="0">
        <f>IF(P690="","",IF(ROUND(P690,2)=5,"win","loss"))</f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>
        <f>IF(C691="","",IFERROR(LOOKUP(2,1/(($C$2:$C$1001=C691)*($Q$2:$Q$1001="win")),$O$2:$O$1001),""))</f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>
        <f>IF(N691="","",IF(OR(ISNUMBER(SEARCH("狼",N691)),ISNUMBER(SEARCH("石像鬼",N691)),ISNUMBER(SEARCH("恶灵骑士",N691)),ISNUMBER(SEARCH("黑蝙蝠",N691)),ISNUMBER(SEARCH("血月使徒",N691))),"werewolves","villagers"))</f>
      </c>
      <c r="P691" s="0" t="inlineStr">
        <is>
          <t xml:space="preserve"/>
        </is>
      </c>
      <c r="Q691" s="0">
        <f>IF(P691="","",IF(ROUND(P691,2)=5,"win","loss"))</f>
      </c>
      <c r="R691" s="0" t="inlineStr">
        <is>
          <t xml:space="preserve"/>
        </is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>
        <f>IF(C692="","",IFERROR(LOOKUP(2,1/(($C$2:$C$1001=C692)*($Q$2:$Q$1001="win")),$O$2:$O$1001),""))</f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>
        <f>IF(N692="","",IF(OR(ISNUMBER(SEARCH("狼",N692)),ISNUMBER(SEARCH("石像鬼",N692)),ISNUMBER(SEARCH("恶灵骑士",N692)),ISNUMBER(SEARCH("黑蝙蝠",N692)),ISNUMBER(SEARCH("血月使徒",N692))),"werewolves","villagers"))</f>
      </c>
      <c r="P692" s="0" t="inlineStr">
        <is>
          <t xml:space="preserve"/>
        </is>
      </c>
      <c r="Q692" s="0">
        <f>IF(P692="","",IF(ROUND(P692,2)=5,"win","loss"))</f>
      </c>
      <c r="R692" s="0" t="inlineStr">
        <is>
          <t xml:space="preserve"/>
        </is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>
        <f>IF(C693="","",IFERROR(LOOKUP(2,1/(($C$2:$C$1001=C693)*($Q$2:$Q$1001="win")),$O$2:$O$1001),""))</f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>
        <f>IF(N693="","",IF(OR(ISNUMBER(SEARCH("狼",N693)),ISNUMBER(SEARCH("石像鬼",N693)),ISNUMBER(SEARCH("恶灵骑士",N693)),ISNUMBER(SEARCH("黑蝙蝠",N693)),ISNUMBER(SEARCH("血月使徒",N693))),"werewolves","villagers"))</f>
      </c>
      <c r="P693" s="0" t="inlineStr">
        <is>
          <t xml:space="preserve"/>
        </is>
      </c>
      <c r="Q693" s="0">
        <f>IF(P693="","",IF(ROUND(P693,2)=5,"win","loss"))</f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>
        <f>IF(C694="","",IFERROR(LOOKUP(2,1/(($C$2:$C$1001=C694)*($Q$2:$Q$1001="win")),$O$2:$O$1001),""))</f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>
        <f>IF(N694="","",IF(OR(ISNUMBER(SEARCH("狼",N694)),ISNUMBER(SEARCH("石像鬼",N694)),ISNUMBER(SEARCH("恶灵骑士",N694)),ISNUMBER(SEARCH("黑蝙蝠",N694)),ISNUMBER(SEARCH("血月使徒",N694))),"werewolves","villagers"))</f>
      </c>
      <c r="P694" s="0" t="inlineStr">
        <is>
          <t xml:space="preserve"/>
        </is>
      </c>
      <c r="Q694" s="0">
        <f>IF(P694="","",IF(ROUND(P694,2)=5,"win","loss"))</f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>
        <f>IF(C695="","",IFERROR(LOOKUP(2,1/(($C$2:$C$1001=C695)*($Q$2:$Q$1001="win")),$O$2:$O$1001),""))</f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>
        <f>IF(N695="","",IF(OR(ISNUMBER(SEARCH("狼",N695)),ISNUMBER(SEARCH("石像鬼",N695)),ISNUMBER(SEARCH("恶灵骑士",N695)),ISNUMBER(SEARCH("黑蝙蝠",N695)),ISNUMBER(SEARCH("血月使徒",N695))),"werewolves","villagers"))</f>
      </c>
      <c r="P695" s="0" t="inlineStr">
        <is>
          <t xml:space="preserve"/>
        </is>
      </c>
      <c r="Q695" s="0">
        <f>IF(P695="","",IF(ROUND(P695,2)=5,"win","loss"))</f>
      </c>
      <c r="R695" s="0" t="inlineStr">
        <is>
          <t xml:space="preserve"/>
        </is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>
        <f>IF(C696="","",IFERROR(LOOKUP(2,1/(($C$2:$C$1001=C696)*($Q$2:$Q$1001="win")),$O$2:$O$1001),""))</f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>
        <f>IF(N696="","",IF(OR(ISNUMBER(SEARCH("狼",N696)),ISNUMBER(SEARCH("石像鬼",N696)),ISNUMBER(SEARCH("恶灵骑士",N696)),ISNUMBER(SEARCH("黑蝙蝠",N696)),ISNUMBER(SEARCH("血月使徒",N696))),"werewolves","villagers"))</f>
      </c>
      <c r="P696" s="0" t="inlineStr">
        <is>
          <t xml:space="preserve"/>
        </is>
      </c>
      <c r="Q696" s="0">
        <f>IF(P696="","",IF(ROUND(P696,2)=5,"win","loss"))</f>
      </c>
      <c r="R696" s="0" t="inlineStr">
        <is>
          <t xml:space="preserve"/>
        </is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>
        <f>IF(C697="","",IFERROR(LOOKUP(2,1/(($C$2:$C$1001=C697)*($Q$2:$Q$1001="win")),$O$2:$O$1001),""))</f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>
        <f>IF(N697="","",IF(OR(ISNUMBER(SEARCH("狼",N697)),ISNUMBER(SEARCH("石像鬼",N697)),ISNUMBER(SEARCH("恶灵骑士",N697)),ISNUMBER(SEARCH("黑蝙蝠",N697)),ISNUMBER(SEARCH("血月使徒",N697))),"werewolves","villagers"))</f>
      </c>
      <c r="P697" s="0" t="inlineStr">
        <is>
          <t xml:space="preserve"/>
        </is>
      </c>
      <c r="Q697" s="0">
        <f>IF(P697="","",IF(ROUND(P697,2)=5,"win","loss"))</f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>
        <f>IF(C698="","",IFERROR(LOOKUP(2,1/(($C$2:$C$1001=C698)*($Q$2:$Q$1001="win")),$O$2:$O$1001),""))</f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>
        <f>IF(N698="","",IF(OR(ISNUMBER(SEARCH("狼",N698)),ISNUMBER(SEARCH("石像鬼",N698)),ISNUMBER(SEARCH("恶灵骑士",N698)),ISNUMBER(SEARCH("黑蝙蝠",N698)),ISNUMBER(SEARCH("血月使徒",N698))),"werewolves","villagers"))</f>
      </c>
      <c r="P698" s="0" t="inlineStr">
        <is>
          <t xml:space="preserve"/>
        </is>
      </c>
      <c r="Q698" s="0">
        <f>IF(P698="","",IF(ROUND(P698,2)=5,"win","loss"))</f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>
        <f>IF(C699="","",IFERROR(LOOKUP(2,1/(($C$2:$C$1001=C699)*($Q$2:$Q$1001="win")),$O$2:$O$1001),""))</f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>
        <f>IF(N699="","",IF(OR(ISNUMBER(SEARCH("狼",N699)),ISNUMBER(SEARCH("石像鬼",N699)),ISNUMBER(SEARCH("恶灵骑士",N699)),ISNUMBER(SEARCH("黑蝙蝠",N699)),ISNUMBER(SEARCH("血月使徒",N699))),"werewolves","villagers"))</f>
      </c>
      <c r="P699" s="0" t="inlineStr">
        <is>
          <t xml:space="preserve"/>
        </is>
      </c>
      <c r="Q699" s="0">
        <f>IF(P699="","",IF(ROUND(P699,2)=5,"win","loss"))</f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>
        <f>IF(C700="","",IFERROR(LOOKUP(2,1/(($C$2:$C$1001=C700)*($Q$2:$Q$1001="win")),$O$2:$O$1001),""))</f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>
        <f>IF(N700="","",IF(OR(ISNUMBER(SEARCH("狼",N700)),ISNUMBER(SEARCH("石像鬼",N700)),ISNUMBER(SEARCH("恶灵骑士",N700)),ISNUMBER(SEARCH("黑蝙蝠",N700)),ISNUMBER(SEARCH("血月使徒",N700))),"werewolves","villagers"))</f>
      </c>
      <c r="P700" s="0" t="inlineStr">
        <is>
          <t xml:space="preserve"/>
        </is>
      </c>
      <c r="Q700" s="0">
        <f>IF(P700="","",IF(ROUND(P700,2)=5,"win","loss"))</f>
      </c>
      <c r="R700" s="0" t="inlineStr">
        <is>
          <t xml:space="preserve"/>
        </is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>
        <f>IF(C701="","",IFERROR(LOOKUP(2,1/(($C$2:$C$1001=C701)*($Q$2:$Q$1001="win")),$O$2:$O$1001),""))</f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>
        <f>IF(N701="","",IF(OR(ISNUMBER(SEARCH("狼",N701)),ISNUMBER(SEARCH("石像鬼",N701)),ISNUMBER(SEARCH("恶灵骑士",N701)),ISNUMBER(SEARCH("黑蝙蝠",N701)),ISNUMBER(SEARCH("血月使徒",N701))),"werewolves","villagers"))</f>
      </c>
      <c r="P701" s="0" t="inlineStr">
        <is>
          <t xml:space="preserve"/>
        </is>
      </c>
      <c r="Q701" s="0">
        <f>IF(P701="","",IF(ROUND(P701,2)=5,"win","loss"))</f>
      </c>
      <c r="R701" s="0" t="inlineStr">
        <is>
          <t xml:space="preserve"/>
        </is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>
        <f>IF(C702="","",IFERROR(LOOKUP(2,1/(($C$2:$C$1001=C702)*($Q$2:$Q$1001="win")),$O$2:$O$1001),""))</f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>
        <f>IF(N702="","",IF(OR(ISNUMBER(SEARCH("狼",N702)),ISNUMBER(SEARCH("石像鬼",N702)),ISNUMBER(SEARCH("恶灵骑士",N702)),ISNUMBER(SEARCH("黑蝙蝠",N702)),ISNUMBER(SEARCH("血月使徒",N702))),"werewolves","villagers"))</f>
      </c>
      <c r="P702" s="0" t="inlineStr">
        <is>
          <t xml:space="preserve"/>
        </is>
      </c>
      <c r="Q702" s="0">
        <f>IF(P702="","",IF(ROUND(P702,2)=5,"win","loss"))</f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>
        <f>IF(C703="","",IFERROR(LOOKUP(2,1/(($C$2:$C$1001=C703)*($Q$2:$Q$1001="win")),$O$2:$O$1001),""))</f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>
        <f>IF(N703="","",IF(OR(ISNUMBER(SEARCH("狼",N703)),ISNUMBER(SEARCH("石像鬼",N703)),ISNUMBER(SEARCH("恶灵骑士",N703)),ISNUMBER(SEARCH("黑蝙蝠",N703)),ISNUMBER(SEARCH("血月使徒",N703))),"werewolves","villagers"))</f>
      </c>
      <c r="P703" s="0" t="inlineStr">
        <is>
          <t xml:space="preserve"/>
        </is>
      </c>
      <c r="Q703" s="0">
        <f>IF(P703="","",IF(ROUND(P703,2)=5,"win","loss"))</f>
      </c>
      <c r="R703" s="0" t="inlineStr">
        <is>
          <t xml:space="preserve"/>
        </is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>
        <f>IF(C704="","",IFERROR(LOOKUP(2,1/(($C$2:$C$1001=C704)*($Q$2:$Q$1001="win")),$O$2:$O$1001),""))</f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>
        <f>IF(N704="","",IF(OR(ISNUMBER(SEARCH("狼",N704)),ISNUMBER(SEARCH("石像鬼",N704)),ISNUMBER(SEARCH("恶灵骑士",N704)),ISNUMBER(SEARCH("黑蝙蝠",N704)),ISNUMBER(SEARCH("血月使徒",N704))),"werewolves","villagers"))</f>
      </c>
      <c r="P704" s="0" t="inlineStr">
        <is>
          <t xml:space="preserve"/>
        </is>
      </c>
      <c r="Q704" s="0">
        <f>IF(P704="","",IF(ROUND(P704,2)=5,"win","loss"))</f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>
        <f>IF(C705="","",IFERROR(LOOKUP(2,1/(($C$2:$C$1001=C705)*($Q$2:$Q$1001="win")),$O$2:$O$1001),""))</f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>
        <f>IF(N705="","",IF(OR(ISNUMBER(SEARCH("狼",N705)),ISNUMBER(SEARCH("石像鬼",N705)),ISNUMBER(SEARCH("恶灵骑士",N705)),ISNUMBER(SEARCH("黑蝙蝠",N705)),ISNUMBER(SEARCH("血月使徒",N705))),"werewolves","villagers"))</f>
      </c>
      <c r="P705" s="0" t="inlineStr">
        <is>
          <t xml:space="preserve"/>
        </is>
      </c>
      <c r="Q705" s="0">
        <f>IF(P705="","",IF(ROUND(P705,2)=5,"win","loss"))</f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>
        <f>IF(C706="","",IFERROR(LOOKUP(2,1/(($C$2:$C$1001=C706)*($Q$2:$Q$1001="win")),$O$2:$O$1001),""))</f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>
        <f>IF(N706="","",IF(OR(ISNUMBER(SEARCH("狼",N706)),ISNUMBER(SEARCH("石像鬼",N706)),ISNUMBER(SEARCH("恶灵骑士",N706)),ISNUMBER(SEARCH("黑蝙蝠",N706)),ISNUMBER(SEARCH("血月使徒",N706))),"werewolves","villagers"))</f>
      </c>
      <c r="P706" s="0" t="inlineStr">
        <is>
          <t xml:space="preserve"/>
        </is>
      </c>
      <c r="Q706" s="0">
        <f>IF(P706="","",IF(ROUND(P706,2)=5,"win","loss"))</f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>
        <f>IF(C707="","",IFERROR(LOOKUP(2,1/(($C$2:$C$1001=C707)*($Q$2:$Q$1001="win")),$O$2:$O$1001),""))</f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>
        <f>IF(N707="","",IF(OR(ISNUMBER(SEARCH("狼",N707)),ISNUMBER(SEARCH("石像鬼",N707)),ISNUMBER(SEARCH("恶灵骑士",N707)),ISNUMBER(SEARCH("黑蝙蝠",N707)),ISNUMBER(SEARCH("血月使徒",N707))),"werewolves","villagers"))</f>
      </c>
      <c r="P707" s="0" t="inlineStr">
        <is>
          <t xml:space="preserve"/>
        </is>
      </c>
      <c r="Q707" s="0">
        <f>IF(P707="","",IF(ROUND(P707,2)=5,"win","loss"))</f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>
        <f>IF(C708="","",IFERROR(LOOKUP(2,1/(($C$2:$C$1001=C708)*($Q$2:$Q$1001="win")),$O$2:$O$1001),""))</f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>
        <f>IF(N708="","",IF(OR(ISNUMBER(SEARCH("狼",N708)),ISNUMBER(SEARCH("石像鬼",N708)),ISNUMBER(SEARCH("恶灵骑士",N708)),ISNUMBER(SEARCH("黑蝙蝠",N708)),ISNUMBER(SEARCH("血月使徒",N708))),"werewolves","villagers"))</f>
      </c>
      <c r="P708" s="0" t="inlineStr">
        <is>
          <t xml:space="preserve"/>
        </is>
      </c>
      <c r="Q708" s="0">
        <f>IF(P708="","",IF(ROUND(P708,2)=5,"win","loss"))</f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>
        <f>IF(C709="","",IFERROR(LOOKUP(2,1/(($C$2:$C$1001=C709)*($Q$2:$Q$1001="win")),$O$2:$O$1001),""))</f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>
        <f>IF(N709="","",IF(OR(ISNUMBER(SEARCH("狼",N709)),ISNUMBER(SEARCH("石像鬼",N709)),ISNUMBER(SEARCH("恶灵骑士",N709)),ISNUMBER(SEARCH("黑蝙蝠",N709)),ISNUMBER(SEARCH("血月使徒",N709))),"werewolves","villagers"))</f>
      </c>
      <c r="P709" s="0" t="inlineStr">
        <is>
          <t xml:space="preserve"/>
        </is>
      </c>
      <c r="Q709" s="0">
        <f>IF(P709="","",IF(ROUND(P709,2)=5,"win","loss"))</f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>
        <f>IF(C710="","",IFERROR(LOOKUP(2,1/(($C$2:$C$1001=C710)*($Q$2:$Q$1001="win")),$O$2:$O$1001),""))</f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>
        <f>IF(N710="","",IF(OR(ISNUMBER(SEARCH("狼",N710)),ISNUMBER(SEARCH("石像鬼",N710)),ISNUMBER(SEARCH("恶灵骑士",N710)),ISNUMBER(SEARCH("黑蝙蝠",N710)),ISNUMBER(SEARCH("血月使徒",N710))),"werewolves","villagers"))</f>
      </c>
      <c r="P710" s="0" t="inlineStr">
        <is>
          <t xml:space="preserve"/>
        </is>
      </c>
      <c r="Q710" s="0">
        <f>IF(P710="","",IF(ROUND(P710,2)=5,"win","loss"))</f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>
        <f>IF(C711="","",IFERROR(LOOKUP(2,1/(($C$2:$C$1001=C711)*($Q$2:$Q$1001="win")),$O$2:$O$1001),""))</f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>
        <f>IF(N711="","",IF(OR(ISNUMBER(SEARCH("狼",N711)),ISNUMBER(SEARCH("石像鬼",N711)),ISNUMBER(SEARCH("恶灵骑士",N711)),ISNUMBER(SEARCH("黑蝙蝠",N711)),ISNUMBER(SEARCH("血月使徒",N711))),"werewolves","villagers"))</f>
      </c>
      <c r="P711" s="0" t="inlineStr">
        <is>
          <t xml:space="preserve"/>
        </is>
      </c>
      <c r="Q711" s="0">
        <f>IF(P711="","",IF(ROUND(P711,2)=5,"win","loss"))</f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>
        <f>IF(C712="","",IFERROR(LOOKUP(2,1/(($C$2:$C$1001=C712)*($Q$2:$Q$1001="win")),$O$2:$O$1001),""))</f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>
        <f>IF(N712="","",IF(OR(ISNUMBER(SEARCH("狼",N712)),ISNUMBER(SEARCH("石像鬼",N712)),ISNUMBER(SEARCH("恶灵骑士",N712)),ISNUMBER(SEARCH("黑蝙蝠",N712)),ISNUMBER(SEARCH("血月使徒",N712))),"werewolves","villagers"))</f>
      </c>
      <c r="P712" s="0" t="inlineStr">
        <is>
          <t xml:space="preserve"/>
        </is>
      </c>
      <c r="Q712" s="0">
        <f>IF(P712="","",IF(ROUND(P712,2)=5,"win","loss"))</f>
      </c>
      <c r="R712" s="0" t="inlineStr">
        <is>
          <t xml:space="preserve"/>
        </is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>
        <f>IF(C713="","",IFERROR(LOOKUP(2,1/(($C$2:$C$1001=C713)*($Q$2:$Q$1001="win")),$O$2:$O$1001),""))</f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>
        <f>IF(N713="","",IF(OR(ISNUMBER(SEARCH("狼",N713)),ISNUMBER(SEARCH("石像鬼",N713)),ISNUMBER(SEARCH("恶灵骑士",N713)),ISNUMBER(SEARCH("黑蝙蝠",N713)),ISNUMBER(SEARCH("血月使徒",N713))),"werewolves","villagers"))</f>
      </c>
      <c r="P713" s="0" t="inlineStr">
        <is>
          <t xml:space="preserve"/>
        </is>
      </c>
      <c r="Q713" s="0">
        <f>IF(P713="","",IF(ROUND(P713,2)=5,"win","loss"))</f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>
        <f>IF(C714="","",IFERROR(LOOKUP(2,1/(($C$2:$C$1001=C714)*($Q$2:$Q$1001="win")),$O$2:$O$1001),""))</f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>
        <f>IF(N714="","",IF(OR(ISNUMBER(SEARCH("狼",N714)),ISNUMBER(SEARCH("石像鬼",N714)),ISNUMBER(SEARCH("恶灵骑士",N714)),ISNUMBER(SEARCH("黑蝙蝠",N714)),ISNUMBER(SEARCH("血月使徒",N714))),"werewolves","villagers"))</f>
      </c>
      <c r="P714" s="0" t="inlineStr">
        <is>
          <t xml:space="preserve"/>
        </is>
      </c>
      <c r="Q714" s="0">
        <f>IF(P714="","",IF(ROUND(P714,2)=5,"win","loss"))</f>
      </c>
      <c r="R714" s="0" t="inlineStr">
        <is>
          <t xml:space="preserve"/>
        </is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>
        <f>IF(C715="","",IFERROR(LOOKUP(2,1/(($C$2:$C$1001=C715)*($Q$2:$Q$1001="win")),$O$2:$O$1001),""))</f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>
        <f>IF(N715="","",IF(OR(ISNUMBER(SEARCH("狼",N715)),ISNUMBER(SEARCH("石像鬼",N715)),ISNUMBER(SEARCH("恶灵骑士",N715)),ISNUMBER(SEARCH("黑蝙蝠",N715)),ISNUMBER(SEARCH("血月使徒",N715))),"werewolves","villagers"))</f>
      </c>
      <c r="P715" s="0" t="inlineStr">
        <is>
          <t xml:space="preserve"/>
        </is>
      </c>
      <c r="Q715" s="0">
        <f>IF(P715="","",IF(ROUND(P715,2)=5,"win","loss"))</f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>
        <f>IF(C716="","",IFERROR(LOOKUP(2,1/(($C$2:$C$1001=C716)*($Q$2:$Q$1001="win")),$O$2:$O$1001),""))</f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>
        <f>IF(N716="","",IF(OR(ISNUMBER(SEARCH("狼",N716)),ISNUMBER(SEARCH("石像鬼",N716)),ISNUMBER(SEARCH("恶灵骑士",N716)),ISNUMBER(SEARCH("黑蝙蝠",N716)),ISNUMBER(SEARCH("血月使徒",N716))),"werewolves","villagers"))</f>
      </c>
      <c r="P716" s="0" t="inlineStr">
        <is>
          <t xml:space="preserve"/>
        </is>
      </c>
      <c r="Q716" s="0">
        <f>IF(P716="","",IF(ROUND(P716,2)=5,"win","loss"))</f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>
        <f>IF(C717="","",IFERROR(LOOKUP(2,1/(($C$2:$C$1001=C717)*($Q$2:$Q$1001="win")),$O$2:$O$1001),""))</f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>
        <f>IF(N717="","",IF(OR(ISNUMBER(SEARCH("狼",N717)),ISNUMBER(SEARCH("石像鬼",N717)),ISNUMBER(SEARCH("恶灵骑士",N717)),ISNUMBER(SEARCH("黑蝙蝠",N717)),ISNUMBER(SEARCH("血月使徒",N717))),"werewolves","villagers"))</f>
      </c>
      <c r="P717" s="0" t="inlineStr">
        <is>
          <t xml:space="preserve"/>
        </is>
      </c>
      <c r="Q717" s="0">
        <f>IF(P717="","",IF(ROUND(P717,2)=5,"win","loss"))</f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>
        <f>IF(C718="","",IFERROR(LOOKUP(2,1/(($C$2:$C$1001=C718)*($Q$2:$Q$1001="win")),$O$2:$O$1001),""))</f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>
        <f>IF(N718="","",IF(OR(ISNUMBER(SEARCH("狼",N718)),ISNUMBER(SEARCH("石像鬼",N718)),ISNUMBER(SEARCH("恶灵骑士",N718)),ISNUMBER(SEARCH("黑蝙蝠",N718)),ISNUMBER(SEARCH("血月使徒",N718))),"werewolves","villagers"))</f>
      </c>
      <c r="P718" s="0" t="inlineStr">
        <is>
          <t xml:space="preserve"/>
        </is>
      </c>
      <c r="Q718" s="0">
        <f>IF(P718="","",IF(ROUND(P718,2)=5,"win","loss"))</f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>
        <f>IF(C719="","",IFERROR(LOOKUP(2,1/(($C$2:$C$1001=C719)*($Q$2:$Q$1001="win")),$O$2:$O$1001),""))</f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>
        <f>IF(N719="","",IF(OR(ISNUMBER(SEARCH("狼",N719)),ISNUMBER(SEARCH("石像鬼",N719)),ISNUMBER(SEARCH("恶灵骑士",N719)),ISNUMBER(SEARCH("黑蝙蝠",N719)),ISNUMBER(SEARCH("血月使徒",N719))),"werewolves","villagers"))</f>
      </c>
      <c r="P719" s="0" t="inlineStr">
        <is>
          <t xml:space="preserve"/>
        </is>
      </c>
      <c r="Q719" s="0">
        <f>IF(P719="","",IF(ROUND(P719,2)=5,"win","loss"))</f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>
        <f>IF(C720="","",IFERROR(LOOKUP(2,1/(($C$2:$C$1001=C720)*($Q$2:$Q$1001="win")),$O$2:$O$1001),""))</f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>
        <f>IF(N720="","",IF(OR(ISNUMBER(SEARCH("狼",N720)),ISNUMBER(SEARCH("石像鬼",N720)),ISNUMBER(SEARCH("恶灵骑士",N720)),ISNUMBER(SEARCH("黑蝙蝠",N720)),ISNUMBER(SEARCH("血月使徒",N720))),"werewolves","villagers"))</f>
      </c>
      <c r="P720" s="0" t="inlineStr">
        <is>
          <t xml:space="preserve"/>
        </is>
      </c>
      <c r="Q720" s="0">
        <f>IF(P720="","",IF(ROUND(P720,2)=5,"win","loss"))</f>
      </c>
      <c r="R720" s="0" t="inlineStr">
        <is>
          <t xml:space="preserve"/>
        </is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>
        <f>IF(C721="","",IFERROR(LOOKUP(2,1/(($C$2:$C$1001=C721)*($Q$2:$Q$1001="win")),$O$2:$O$1001),""))</f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>
        <f>IF(N721="","",IF(OR(ISNUMBER(SEARCH("狼",N721)),ISNUMBER(SEARCH("石像鬼",N721)),ISNUMBER(SEARCH("恶灵骑士",N721)),ISNUMBER(SEARCH("黑蝙蝠",N721)),ISNUMBER(SEARCH("血月使徒",N721))),"werewolves","villagers"))</f>
      </c>
      <c r="P721" s="0" t="inlineStr">
        <is>
          <t xml:space="preserve"/>
        </is>
      </c>
      <c r="Q721" s="0">
        <f>IF(P721="","",IF(ROUND(P721,2)=5,"win","loss"))</f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>
        <f>IF(C722="","",IFERROR(LOOKUP(2,1/(($C$2:$C$1001=C722)*($Q$2:$Q$1001="win")),$O$2:$O$1001),""))</f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>
        <f>IF(N722="","",IF(OR(ISNUMBER(SEARCH("狼",N722)),ISNUMBER(SEARCH("石像鬼",N722)),ISNUMBER(SEARCH("恶灵骑士",N722)),ISNUMBER(SEARCH("黑蝙蝠",N722)),ISNUMBER(SEARCH("血月使徒",N722))),"werewolves","villagers"))</f>
      </c>
      <c r="P722" s="0" t="inlineStr">
        <is>
          <t xml:space="preserve"/>
        </is>
      </c>
      <c r="Q722" s="0">
        <f>IF(P722="","",IF(ROUND(P722,2)=5,"win","loss"))</f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>
        <f>IF(C723="","",IFERROR(LOOKUP(2,1/(($C$2:$C$1001=C723)*($Q$2:$Q$1001="win")),$O$2:$O$1001),""))</f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>
        <f>IF(N723="","",IF(OR(ISNUMBER(SEARCH("狼",N723)),ISNUMBER(SEARCH("石像鬼",N723)),ISNUMBER(SEARCH("恶灵骑士",N723)),ISNUMBER(SEARCH("黑蝙蝠",N723)),ISNUMBER(SEARCH("血月使徒",N723))),"werewolves","villagers"))</f>
      </c>
      <c r="P723" s="0" t="inlineStr">
        <is>
          <t xml:space="preserve"/>
        </is>
      </c>
      <c r="Q723" s="0">
        <f>IF(P723="","",IF(ROUND(P723,2)=5,"win","loss"))</f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>
        <f>IF(C724="","",IFERROR(LOOKUP(2,1/(($C$2:$C$1001=C724)*($Q$2:$Q$1001="win")),$O$2:$O$1001),""))</f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>
        <f>IF(N724="","",IF(OR(ISNUMBER(SEARCH("狼",N724)),ISNUMBER(SEARCH("石像鬼",N724)),ISNUMBER(SEARCH("恶灵骑士",N724)),ISNUMBER(SEARCH("黑蝙蝠",N724)),ISNUMBER(SEARCH("血月使徒",N724))),"werewolves","villagers"))</f>
      </c>
      <c r="P724" s="0" t="inlineStr">
        <is>
          <t xml:space="preserve"/>
        </is>
      </c>
      <c r="Q724" s="0">
        <f>IF(P724="","",IF(ROUND(P724,2)=5,"win","loss"))</f>
      </c>
      <c r="R724" s="0" t="inlineStr">
        <is>
          <t xml:space="preserve"/>
        </is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>
        <f>IF(C725="","",IFERROR(LOOKUP(2,1/(($C$2:$C$1001=C725)*($Q$2:$Q$1001="win")),$O$2:$O$1001),""))</f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>
        <f>IF(N725="","",IF(OR(ISNUMBER(SEARCH("狼",N725)),ISNUMBER(SEARCH("石像鬼",N725)),ISNUMBER(SEARCH("恶灵骑士",N725)),ISNUMBER(SEARCH("黑蝙蝠",N725)),ISNUMBER(SEARCH("血月使徒",N725))),"werewolves","villagers"))</f>
      </c>
      <c r="P725" s="0" t="inlineStr">
        <is>
          <t xml:space="preserve"/>
        </is>
      </c>
      <c r="Q725" s="0">
        <f>IF(P725="","",IF(ROUND(P725,2)=5,"win","loss"))</f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>
        <f>IF(C726="","",IFERROR(LOOKUP(2,1/(($C$2:$C$1001=C726)*($Q$2:$Q$1001="win")),$O$2:$O$1001),""))</f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>
        <f>IF(N726="","",IF(OR(ISNUMBER(SEARCH("狼",N726)),ISNUMBER(SEARCH("石像鬼",N726)),ISNUMBER(SEARCH("恶灵骑士",N726)),ISNUMBER(SEARCH("黑蝙蝠",N726)),ISNUMBER(SEARCH("血月使徒",N726))),"werewolves","villagers"))</f>
      </c>
      <c r="P726" s="0" t="inlineStr">
        <is>
          <t xml:space="preserve"/>
        </is>
      </c>
      <c r="Q726" s="0">
        <f>IF(P726="","",IF(ROUND(P726,2)=5,"win","loss"))</f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>
        <f>IF(C727="","",IFERROR(LOOKUP(2,1/(($C$2:$C$1001=C727)*($Q$2:$Q$1001="win")),$O$2:$O$1001),""))</f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>
        <f>IF(N727="","",IF(OR(ISNUMBER(SEARCH("狼",N727)),ISNUMBER(SEARCH("石像鬼",N727)),ISNUMBER(SEARCH("恶灵骑士",N727)),ISNUMBER(SEARCH("黑蝙蝠",N727)),ISNUMBER(SEARCH("血月使徒",N727))),"werewolves","villagers"))</f>
      </c>
      <c r="P727" s="0" t="inlineStr">
        <is>
          <t xml:space="preserve"/>
        </is>
      </c>
      <c r="Q727" s="0">
        <f>IF(P727="","",IF(ROUND(P727,2)=5,"win","loss"))</f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>
        <f>IF(C728="","",IFERROR(LOOKUP(2,1/(($C$2:$C$1001=C728)*($Q$2:$Q$1001="win")),$O$2:$O$1001),""))</f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>
        <f>IF(N728="","",IF(OR(ISNUMBER(SEARCH("狼",N728)),ISNUMBER(SEARCH("石像鬼",N728)),ISNUMBER(SEARCH("恶灵骑士",N728)),ISNUMBER(SEARCH("黑蝙蝠",N728)),ISNUMBER(SEARCH("血月使徒",N728))),"werewolves","villagers"))</f>
      </c>
      <c r="P728" s="0" t="inlineStr">
        <is>
          <t xml:space="preserve"/>
        </is>
      </c>
      <c r="Q728" s="0">
        <f>IF(P728="","",IF(ROUND(P728,2)=5,"win","loss"))</f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>
        <f>IF(C729="","",IFERROR(LOOKUP(2,1/(($C$2:$C$1001=C729)*($Q$2:$Q$1001="win")),$O$2:$O$1001),""))</f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>
        <f>IF(N729="","",IF(OR(ISNUMBER(SEARCH("狼",N729)),ISNUMBER(SEARCH("石像鬼",N729)),ISNUMBER(SEARCH("恶灵骑士",N729)),ISNUMBER(SEARCH("黑蝙蝠",N729)),ISNUMBER(SEARCH("血月使徒",N729))),"werewolves","villagers"))</f>
      </c>
      <c r="P729" s="0" t="inlineStr">
        <is>
          <t xml:space="preserve"/>
        </is>
      </c>
      <c r="Q729" s="0">
        <f>IF(P729="","",IF(ROUND(P729,2)=5,"win","loss"))</f>
      </c>
      <c r="R729" s="0" t="inlineStr">
        <is>
          <t xml:space="preserve"/>
        </is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>
        <f>IF(C730="","",IFERROR(LOOKUP(2,1/(($C$2:$C$1001=C730)*($Q$2:$Q$1001="win")),$O$2:$O$1001),""))</f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>
        <f>IF(N730="","",IF(OR(ISNUMBER(SEARCH("狼",N730)),ISNUMBER(SEARCH("石像鬼",N730)),ISNUMBER(SEARCH("恶灵骑士",N730)),ISNUMBER(SEARCH("黑蝙蝠",N730)),ISNUMBER(SEARCH("血月使徒",N730))),"werewolves","villagers"))</f>
      </c>
      <c r="P730" s="0" t="inlineStr">
        <is>
          <t xml:space="preserve"/>
        </is>
      </c>
      <c r="Q730" s="0">
        <f>IF(P730="","",IF(ROUND(P730,2)=5,"win","loss"))</f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>
        <f>IF(C731="","",IFERROR(LOOKUP(2,1/(($C$2:$C$1001=C731)*($Q$2:$Q$1001="win")),$O$2:$O$1001),""))</f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>
        <f>IF(N731="","",IF(OR(ISNUMBER(SEARCH("狼",N731)),ISNUMBER(SEARCH("石像鬼",N731)),ISNUMBER(SEARCH("恶灵骑士",N731)),ISNUMBER(SEARCH("黑蝙蝠",N731)),ISNUMBER(SEARCH("血月使徒",N731))),"werewolves","villagers"))</f>
      </c>
      <c r="P731" s="0" t="inlineStr">
        <is>
          <t xml:space="preserve"/>
        </is>
      </c>
      <c r="Q731" s="0">
        <f>IF(P731="","",IF(ROUND(P731,2)=5,"win","loss"))</f>
      </c>
      <c r="R731" s="0" t="inlineStr">
        <is>
          <t xml:space="preserve"/>
        </is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>
        <f>IF(C732="","",IFERROR(LOOKUP(2,1/(($C$2:$C$1001=C732)*($Q$2:$Q$1001="win")),$O$2:$O$1001),""))</f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>
        <f>IF(N732="","",IF(OR(ISNUMBER(SEARCH("狼",N732)),ISNUMBER(SEARCH("石像鬼",N732)),ISNUMBER(SEARCH("恶灵骑士",N732)),ISNUMBER(SEARCH("黑蝙蝠",N732)),ISNUMBER(SEARCH("血月使徒",N732))),"werewolves","villagers"))</f>
      </c>
      <c r="P732" s="0" t="inlineStr">
        <is>
          <t xml:space="preserve"/>
        </is>
      </c>
      <c r="Q732" s="0">
        <f>IF(P732="","",IF(ROUND(P732,2)=5,"win","loss"))</f>
      </c>
      <c r="R732" s="0" t="inlineStr">
        <is>
          <t xml:space="preserve"/>
        </is>
      </c>
      <c r="S732" s="0" t="inlineStr">
        <is>
          <t xml:space="preserve"/>
        </is>
      </c>
      <c r="T732" s="0" t="inlineStr">
        <is>
          <t xml:space="preserve"/>
        </is>
      </c>
      <c r="U732" s="0" t="inlineStr">
        <is>
          <t xml:space="preserve"/>
        </is>
      </c>
      <c r="V732" s="0" t="inlineStr">
        <is>
          <t xml:space="preserve"/>
        </is>
      </c>
      <c r="W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>
        <f>IF(C733="","",IFERROR(LOOKUP(2,1/(($C$2:$C$1001=C733)*($Q$2:$Q$1001="win")),$O$2:$O$1001),""))</f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>
        <f>IF(N733="","",IF(OR(ISNUMBER(SEARCH("狼",N733)),ISNUMBER(SEARCH("石像鬼",N733)),ISNUMBER(SEARCH("恶灵骑士",N733)),ISNUMBER(SEARCH("黑蝙蝠",N733)),ISNUMBER(SEARCH("血月使徒",N733))),"werewolves","villagers"))</f>
      </c>
      <c r="P733" s="0" t="inlineStr">
        <is>
          <t xml:space="preserve"/>
        </is>
      </c>
      <c r="Q733" s="0">
        <f>IF(P733="","",IF(ROUND(P733,2)=5,"win","loss"))</f>
      </c>
      <c r="R733" s="0" t="inlineStr">
        <is>
          <t xml:space="preserve"/>
        </is>
      </c>
      <c r="S733" s="0" t="inlineStr">
        <is>
          <t xml:space="preserve"/>
        </is>
      </c>
      <c r="T733" s="0" t="inlineStr">
        <is>
          <t xml:space="preserve"/>
        </is>
      </c>
      <c r="U733" s="0" t="inlineStr">
        <is>
          <t xml:space="preserve"/>
        </is>
      </c>
      <c r="V733" s="0" t="inlineStr">
        <is>
          <t xml:space="preserve"/>
        </is>
      </c>
      <c r="W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>
        <f>IF(C734="","",IFERROR(LOOKUP(2,1/(($C$2:$C$1001=C734)*($Q$2:$Q$1001="win")),$O$2:$O$1001),""))</f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>
        <f>IF(N734="","",IF(OR(ISNUMBER(SEARCH("狼",N734)),ISNUMBER(SEARCH("石像鬼",N734)),ISNUMBER(SEARCH("恶灵骑士",N734)),ISNUMBER(SEARCH("黑蝙蝠",N734)),ISNUMBER(SEARCH("血月使徒",N734))),"werewolves","villagers"))</f>
      </c>
      <c r="P734" s="0" t="inlineStr">
        <is>
          <t xml:space="preserve"/>
        </is>
      </c>
      <c r="Q734" s="0">
        <f>IF(P734="","",IF(ROUND(P734,2)=5,"win","loss"))</f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>
        <f>IF(C735="","",IFERROR(LOOKUP(2,1/(($C$2:$C$1001=C735)*($Q$2:$Q$1001="win")),$O$2:$O$1001),""))</f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>
        <f>IF(N735="","",IF(OR(ISNUMBER(SEARCH("狼",N735)),ISNUMBER(SEARCH("石像鬼",N735)),ISNUMBER(SEARCH("恶灵骑士",N735)),ISNUMBER(SEARCH("黑蝙蝠",N735)),ISNUMBER(SEARCH("血月使徒",N735))),"werewolves","villagers"))</f>
      </c>
      <c r="P735" s="0" t="inlineStr">
        <is>
          <t xml:space="preserve"/>
        </is>
      </c>
      <c r="Q735" s="0">
        <f>IF(P735="","",IF(ROUND(P735,2)=5,"win","loss"))</f>
      </c>
      <c r="R735" s="0" t="inlineStr">
        <is>
          <t xml:space="preserve"/>
        </is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>
        <f>IF(C736="","",IFERROR(LOOKUP(2,1/(($C$2:$C$1001=C736)*($Q$2:$Q$1001="win")),$O$2:$O$1001),""))</f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>
        <f>IF(N736="","",IF(OR(ISNUMBER(SEARCH("狼",N736)),ISNUMBER(SEARCH("石像鬼",N736)),ISNUMBER(SEARCH("恶灵骑士",N736)),ISNUMBER(SEARCH("黑蝙蝠",N736)),ISNUMBER(SEARCH("血月使徒",N736))),"werewolves","villagers"))</f>
      </c>
      <c r="P736" s="0" t="inlineStr">
        <is>
          <t xml:space="preserve"/>
        </is>
      </c>
      <c r="Q736" s="0">
        <f>IF(P736="","",IF(ROUND(P736,2)=5,"win","loss"))</f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>
        <f>IF(C737="","",IFERROR(LOOKUP(2,1/(($C$2:$C$1001=C737)*($Q$2:$Q$1001="win")),$O$2:$O$1001),""))</f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>
        <f>IF(N737="","",IF(OR(ISNUMBER(SEARCH("狼",N737)),ISNUMBER(SEARCH("石像鬼",N737)),ISNUMBER(SEARCH("恶灵骑士",N737)),ISNUMBER(SEARCH("黑蝙蝠",N737)),ISNUMBER(SEARCH("血月使徒",N737))),"werewolves","villagers"))</f>
      </c>
      <c r="P737" s="0" t="inlineStr">
        <is>
          <t xml:space="preserve"/>
        </is>
      </c>
      <c r="Q737" s="0">
        <f>IF(P737="","",IF(ROUND(P737,2)=5,"win","loss"))</f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>
        <f>IF(C738="","",IFERROR(LOOKUP(2,1/(($C$2:$C$1001=C738)*($Q$2:$Q$1001="win")),$O$2:$O$1001),""))</f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>
        <f>IF(N738="","",IF(OR(ISNUMBER(SEARCH("狼",N738)),ISNUMBER(SEARCH("石像鬼",N738)),ISNUMBER(SEARCH("恶灵骑士",N738)),ISNUMBER(SEARCH("黑蝙蝠",N738)),ISNUMBER(SEARCH("血月使徒",N738))),"werewolves","villagers"))</f>
      </c>
      <c r="P738" s="0" t="inlineStr">
        <is>
          <t xml:space="preserve"/>
        </is>
      </c>
      <c r="Q738" s="0">
        <f>IF(P738="","",IF(ROUND(P738,2)=5,"win","loss"))</f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>
        <f>IF(C739="","",IFERROR(LOOKUP(2,1/(($C$2:$C$1001=C739)*($Q$2:$Q$1001="win")),$O$2:$O$1001),""))</f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>
        <f>IF(N739="","",IF(OR(ISNUMBER(SEARCH("狼",N739)),ISNUMBER(SEARCH("石像鬼",N739)),ISNUMBER(SEARCH("恶灵骑士",N739)),ISNUMBER(SEARCH("黑蝙蝠",N739)),ISNUMBER(SEARCH("血月使徒",N739))),"werewolves","villagers"))</f>
      </c>
      <c r="P739" s="0" t="inlineStr">
        <is>
          <t xml:space="preserve"/>
        </is>
      </c>
      <c r="Q739" s="0">
        <f>IF(P739="","",IF(ROUND(P739,2)=5,"win","loss"))</f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>
        <f>IF(C740="","",IFERROR(LOOKUP(2,1/(($C$2:$C$1001=C740)*($Q$2:$Q$1001="win")),$O$2:$O$1001),""))</f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>
        <f>IF(N740="","",IF(OR(ISNUMBER(SEARCH("狼",N740)),ISNUMBER(SEARCH("石像鬼",N740)),ISNUMBER(SEARCH("恶灵骑士",N740)),ISNUMBER(SEARCH("黑蝙蝠",N740)),ISNUMBER(SEARCH("血月使徒",N740))),"werewolves","villagers"))</f>
      </c>
      <c r="P740" s="0" t="inlineStr">
        <is>
          <t xml:space="preserve"/>
        </is>
      </c>
      <c r="Q740" s="0">
        <f>IF(P740="","",IF(ROUND(P740,2)=5,"win","loss"))</f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>
        <f>IF(C741="","",IFERROR(LOOKUP(2,1/(($C$2:$C$1001=C741)*($Q$2:$Q$1001="win")),$O$2:$O$1001),""))</f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>
        <f>IF(N741="","",IF(OR(ISNUMBER(SEARCH("狼",N741)),ISNUMBER(SEARCH("石像鬼",N741)),ISNUMBER(SEARCH("恶灵骑士",N741)),ISNUMBER(SEARCH("黑蝙蝠",N741)),ISNUMBER(SEARCH("血月使徒",N741))),"werewolves","villagers"))</f>
      </c>
      <c r="P741" s="0" t="inlineStr">
        <is>
          <t xml:space="preserve"/>
        </is>
      </c>
      <c r="Q741" s="0">
        <f>IF(P741="","",IF(ROUND(P741,2)=5,"win","loss"))</f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>
        <f>IF(C742="","",IFERROR(LOOKUP(2,1/(($C$2:$C$1001=C742)*($Q$2:$Q$1001="win")),$O$2:$O$1001),""))</f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>
        <f>IF(N742="","",IF(OR(ISNUMBER(SEARCH("狼",N742)),ISNUMBER(SEARCH("石像鬼",N742)),ISNUMBER(SEARCH("恶灵骑士",N742)),ISNUMBER(SEARCH("黑蝙蝠",N742)),ISNUMBER(SEARCH("血月使徒",N742))),"werewolves","villagers"))</f>
      </c>
      <c r="P742" s="0" t="inlineStr">
        <is>
          <t xml:space="preserve"/>
        </is>
      </c>
      <c r="Q742" s="0">
        <f>IF(P742="","",IF(ROUND(P742,2)=5,"win","loss"))</f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>
        <f>IF(C743="","",IFERROR(LOOKUP(2,1/(($C$2:$C$1001=C743)*($Q$2:$Q$1001="win")),$O$2:$O$1001),""))</f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>
        <f>IF(N743="","",IF(OR(ISNUMBER(SEARCH("狼",N743)),ISNUMBER(SEARCH("石像鬼",N743)),ISNUMBER(SEARCH("恶灵骑士",N743)),ISNUMBER(SEARCH("黑蝙蝠",N743)),ISNUMBER(SEARCH("血月使徒",N743))),"werewolves","villagers"))</f>
      </c>
      <c r="P743" s="0" t="inlineStr">
        <is>
          <t xml:space="preserve"/>
        </is>
      </c>
      <c r="Q743" s="0">
        <f>IF(P743="","",IF(ROUND(P743,2)=5,"win","loss"))</f>
      </c>
      <c r="R743" s="0" t="inlineStr">
        <is>
          <t xml:space="preserve"/>
        </is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>
        <f>IF(C744="","",IFERROR(LOOKUP(2,1/(($C$2:$C$1001=C744)*($Q$2:$Q$1001="win")),$O$2:$O$1001),""))</f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>
        <f>IF(N744="","",IF(OR(ISNUMBER(SEARCH("狼",N744)),ISNUMBER(SEARCH("石像鬼",N744)),ISNUMBER(SEARCH("恶灵骑士",N744)),ISNUMBER(SEARCH("黑蝙蝠",N744)),ISNUMBER(SEARCH("血月使徒",N744))),"werewolves","villagers"))</f>
      </c>
      <c r="P744" s="0" t="inlineStr">
        <is>
          <t xml:space="preserve"/>
        </is>
      </c>
      <c r="Q744" s="0">
        <f>IF(P744="","",IF(ROUND(P744,2)=5,"win","loss"))</f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>
        <f>IF(C745="","",IFERROR(LOOKUP(2,1/(($C$2:$C$1001=C745)*($Q$2:$Q$1001="win")),$O$2:$O$1001),""))</f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>
        <f>IF(N745="","",IF(OR(ISNUMBER(SEARCH("狼",N745)),ISNUMBER(SEARCH("石像鬼",N745)),ISNUMBER(SEARCH("恶灵骑士",N745)),ISNUMBER(SEARCH("黑蝙蝠",N745)),ISNUMBER(SEARCH("血月使徒",N745))),"werewolves","villagers"))</f>
      </c>
      <c r="P745" s="0" t="inlineStr">
        <is>
          <t xml:space="preserve"/>
        </is>
      </c>
      <c r="Q745" s="0">
        <f>IF(P745="","",IF(ROUND(P745,2)=5,"win","loss"))</f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>
        <f>IF(C746="","",IFERROR(LOOKUP(2,1/(($C$2:$C$1001=C746)*($Q$2:$Q$1001="win")),$O$2:$O$1001),""))</f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>
        <f>IF(N746="","",IF(OR(ISNUMBER(SEARCH("狼",N746)),ISNUMBER(SEARCH("石像鬼",N746)),ISNUMBER(SEARCH("恶灵骑士",N746)),ISNUMBER(SEARCH("黑蝙蝠",N746)),ISNUMBER(SEARCH("血月使徒",N746))),"werewolves","villagers"))</f>
      </c>
      <c r="P746" s="0" t="inlineStr">
        <is>
          <t xml:space="preserve"/>
        </is>
      </c>
      <c r="Q746" s="0">
        <f>IF(P746="","",IF(ROUND(P746,2)=5,"win","loss"))</f>
      </c>
      <c r="R746" s="0" t="inlineStr">
        <is>
          <t xml:space="preserve"/>
        </is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>
        <f>IF(C747="","",IFERROR(LOOKUP(2,1/(($C$2:$C$1001=C747)*($Q$2:$Q$1001="win")),$O$2:$O$1001),""))</f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>
        <f>IF(N747="","",IF(OR(ISNUMBER(SEARCH("狼",N747)),ISNUMBER(SEARCH("石像鬼",N747)),ISNUMBER(SEARCH("恶灵骑士",N747)),ISNUMBER(SEARCH("黑蝙蝠",N747)),ISNUMBER(SEARCH("血月使徒",N747))),"werewolves","villagers"))</f>
      </c>
      <c r="P747" s="0" t="inlineStr">
        <is>
          <t xml:space="preserve"/>
        </is>
      </c>
      <c r="Q747" s="0">
        <f>IF(P747="","",IF(ROUND(P747,2)=5,"win","loss"))</f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>
        <f>IF(C748="","",IFERROR(LOOKUP(2,1/(($C$2:$C$1001=C748)*($Q$2:$Q$1001="win")),$O$2:$O$1001),""))</f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>
        <f>IF(N748="","",IF(OR(ISNUMBER(SEARCH("狼",N748)),ISNUMBER(SEARCH("石像鬼",N748)),ISNUMBER(SEARCH("恶灵骑士",N748)),ISNUMBER(SEARCH("黑蝙蝠",N748)),ISNUMBER(SEARCH("血月使徒",N748))),"werewolves","villagers"))</f>
      </c>
      <c r="P748" s="0" t="inlineStr">
        <is>
          <t xml:space="preserve"/>
        </is>
      </c>
      <c r="Q748" s="0">
        <f>IF(P748="","",IF(ROUND(P748,2)=5,"win","loss"))</f>
      </c>
      <c r="R748" s="0" t="inlineStr">
        <is>
          <t xml:space="preserve"/>
        </is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>
        <f>IF(C749="","",IFERROR(LOOKUP(2,1/(($C$2:$C$1001=C749)*($Q$2:$Q$1001="win")),$O$2:$O$1001),""))</f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>
        <f>IF(N749="","",IF(OR(ISNUMBER(SEARCH("狼",N749)),ISNUMBER(SEARCH("石像鬼",N749)),ISNUMBER(SEARCH("恶灵骑士",N749)),ISNUMBER(SEARCH("黑蝙蝠",N749)),ISNUMBER(SEARCH("血月使徒",N749))),"werewolves","villagers"))</f>
      </c>
      <c r="P749" s="0" t="inlineStr">
        <is>
          <t xml:space="preserve"/>
        </is>
      </c>
      <c r="Q749" s="0">
        <f>IF(P749="","",IF(ROUND(P749,2)=5,"win","loss"))</f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>
        <f>IF(C750="","",IFERROR(LOOKUP(2,1/(($C$2:$C$1001=C750)*($Q$2:$Q$1001="win")),$O$2:$O$1001),""))</f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>
        <f>IF(N750="","",IF(OR(ISNUMBER(SEARCH("狼",N750)),ISNUMBER(SEARCH("石像鬼",N750)),ISNUMBER(SEARCH("恶灵骑士",N750)),ISNUMBER(SEARCH("黑蝙蝠",N750)),ISNUMBER(SEARCH("血月使徒",N750))),"werewolves","villagers"))</f>
      </c>
      <c r="P750" s="0" t="inlineStr">
        <is>
          <t xml:space="preserve"/>
        </is>
      </c>
      <c r="Q750" s="0">
        <f>IF(P750="","",IF(ROUND(P750,2)=5,"win","loss"))</f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>
        <f>IF(C751="","",IFERROR(LOOKUP(2,1/(($C$2:$C$1001=C751)*($Q$2:$Q$1001="win")),$O$2:$O$1001),""))</f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>
        <f>IF(N751="","",IF(OR(ISNUMBER(SEARCH("狼",N751)),ISNUMBER(SEARCH("石像鬼",N751)),ISNUMBER(SEARCH("恶灵骑士",N751)),ISNUMBER(SEARCH("黑蝙蝠",N751)),ISNUMBER(SEARCH("血月使徒",N751))),"werewolves","villagers"))</f>
      </c>
      <c r="P751" s="0" t="inlineStr">
        <is>
          <t xml:space="preserve"/>
        </is>
      </c>
      <c r="Q751" s="0">
        <f>IF(P751="","",IF(ROUND(P751,2)=5,"win","loss"))</f>
      </c>
      <c r="R751" s="0" t="inlineStr">
        <is>
          <t xml:space="preserve"/>
        </is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>
        <f>IF(C752="","",IFERROR(LOOKUP(2,1/(($C$2:$C$1001=C752)*($Q$2:$Q$1001="win")),$O$2:$O$1001),""))</f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>
        <f>IF(N752="","",IF(OR(ISNUMBER(SEARCH("狼",N752)),ISNUMBER(SEARCH("石像鬼",N752)),ISNUMBER(SEARCH("恶灵骑士",N752)),ISNUMBER(SEARCH("黑蝙蝠",N752)),ISNUMBER(SEARCH("血月使徒",N752))),"werewolves","villagers"))</f>
      </c>
      <c r="P752" s="0" t="inlineStr">
        <is>
          <t xml:space="preserve"/>
        </is>
      </c>
      <c r="Q752" s="0">
        <f>IF(P752="","",IF(ROUND(P752,2)=5,"win","loss"))</f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>
        <f>IF(C753="","",IFERROR(LOOKUP(2,1/(($C$2:$C$1001=C753)*($Q$2:$Q$1001="win")),$O$2:$O$1001),""))</f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>
        <f>IF(N753="","",IF(OR(ISNUMBER(SEARCH("狼",N753)),ISNUMBER(SEARCH("石像鬼",N753)),ISNUMBER(SEARCH("恶灵骑士",N753)),ISNUMBER(SEARCH("黑蝙蝠",N753)),ISNUMBER(SEARCH("血月使徒",N753))),"werewolves","villagers"))</f>
      </c>
      <c r="P753" s="0" t="inlineStr">
        <is>
          <t xml:space="preserve"/>
        </is>
      </c>
      <c r="Q753" s="0">
        <f>IF(P753="","",IF(ROUND(P753,2)=5,"win","loss"))</f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>
        <f>IF(C754="","",IFERROR(LOOKUP(2,1/(($C$2:$C$1001=C754)*($Q$2:$Q$1001="win")),$O$2:$O$1001),""))</f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>
        <f>IF(N754="","",IF(OR(ISNUMBER(SEARCH("狼",N754)),ISNUMBER(SEARCH("石像鬼",N754)),ISNUMBER(SEARCH("恶灵骑士",N754)),ISNUMBER(SEARCH("黑蝙蝠",N754)),ISNUMBER(SEARCH("血月使徒",N754))),"werewolves","villagers"))</f>
      </c>
      <c r="P754" s="0" t="inlineStr">
        <is>
          <t xml:space="preserve"/>
        </is>
      </c>
      <c r="Q754" s="0">
        <f>IF(P754="","",IF(ROUND(P754,2)=5,"win","loss"))</f>
      </c>
      <c r="R754" s="0" t="inlineStr">
        <is>
          <t xml:space="preserve"/>
        </is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>
        <f>IF(C755="","",IFERROR(LOOKUP(2,1/(($C$2:$C$1001=C755)*($Q$2:$Q$1001="win")),$O$2:$O$1001),""))</f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>
        <f>IF(N755="","",IF(OR(ISNUMBER(SEARCH("狼",N755)),ISNUMBER(SEARCH("石像鬼",N755)),ISNUMBER(SEARCH("恶灵骑士",N755)),ISNUMBER(SEARCH("黑蝙蝠",N755)),ISNUMBER(SEARCH("血月使徒",N755))),"werewolves","villagers"))</f>
      </c>
      <c r="P755" s="0" t="inlineStr">
        <is>
          <t xml:space="preserve"/>
        </is>
      </c>
      <c r="Q755" s="0">
        <f>IF(P755="","",IF(ROUND(P755,2)=5,"win","loss"))</f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>
        <f>IF(C756="","",IFERROR(LOOKUP(2,1/(($C$2:$C$1001=C756)*($Q$2:$Q$1001="win")),$O$2:$O$1001),""))</f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>
        <f>IF(N756="","",IF(OR(ISNUMBER(SEARCH("狼",N756)),ISNUMBER(SEARCH("石像鬼",N756)),ISNUMBER(SEARCH("恶灵骑士",N756)),ISNUMBER(SEARCH("黑蝙蝠",N756)),ISNUMBER(SEARCH("血月使徒",N756))),"werewolves","villagers"))</f>
      </c>
      <c r="P756" s="0" t="inlineStr">
        <is>
          <t xml:space="preserve"/>
        </is>
      </c>
      <c r="Q756" s="0">
        <f>IF(P756="","",IF(ROUND(P756,2)=5,"win","loss"))</f>
      </c>
      <c r="R756" s="0" t="inlineStr">
        <is>
          <t xml:space="preserve"/>
        </is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>
        <f>IF(C757="","",IFERROR(LOOKUP(2,1/(($C$2:$C$1001=C757)*($Q$2:$Q$1001="win")),$O$2:$O$1001),""))</f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>
        <f>IF(N757="","",IF(OR(ISNUMBER(SEARCH("狼",N757)),ISNUMBER(SEARCH("石像鬼",N757)),ISNUMBER(SEARCH("恶灵骑士",N757)),ISNUMBER(SEARCH("黑蝙蝠",N757)),ISNUMBER(SEARCH("血月使徒",N757))),"werewolves","villagers"))</f>
      </c>
      <c r="P757" s="0" t="inlineStr">
        <is>
          <t xml:space="preserve"/>
        </is>
      </c>
      <c r="Q757" s="0">
        <f>IF(P757="","",IF(ROUND(P757,2)=5,"win","loss"))</f>
      </c>
      <c r="R757" s="0" t="inlineStr">
        <is>
          <t xml:space="preserve"/>
        </is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>
        <f>IF(C758="","",IFERROR(LOOKUP(2,1/(($C$2:$C$1001=C758)*($Q$2:$Q$1001="win")),$O$2:$O$1001),""))</f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>
        <f>IF(N758="","",IF(OR(ISNUMBER(SEARCH("狼",N758)),ISNUMBER(SEARCH("石像鬼",N758)),ISNUMBER(SEARCH("恶灵骑士",N758)),ISNUMBER(SEARCH("黑蝙蝠",N758)),ISNUMBER(SEARCH("血月使徒",N758))),"werewolves","villagers"))</f>
      </c>
      <c r="P758" s="0" t="inlineStr">
        <is>
          <t xml:space="preserve"/>
        </is>
      </c>
      <c r="Q758" s="0">
        <f>IF(P758="","",IF(ROUND(P758,2)=5,"win","loss"))</f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>
        <f>IF(C759="","",IFERROR(LOOKUP(2,1/(($C$2:$C$1001=C759)*($Q$2:$Q$1001="win")),$O$2:$O$1001),""))</f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>
        <f>IF(N759="","",IF(OR(ISNUMBER(SEARCH("狼",N759)),ISNUMBER(SEARCH("石像鬼",N759)),ISNUMBER(SEARCH("恶灵骑士",N759)),ISNUMBER(SEARCH("黑蝙蝠",N759)),ISNUMBER(SEARCH("血月使徒",N759))),"werewolves","villagers"))</f>
      </c>
      <c r="P759" s="0" t="inlineStr">
        <is>
          <t xml:space="preserve"/>
        </is>
      </c>
      <c r="Q759" s="0">
        <f>IF(P759="","",IF(ROUND(P759,2)=5,"win","loss"))</f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>
        <f>IF(C760="","",IFERROR(LOOKUP(2,1/(($C$2:$C$1001=C760)*($Q$2:$Q$1001="win")),$O$2:$O$1001),""))</f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>
        <f>IF(N760="","",IF(OR(ISNUMBER(SEARCH("狼",N760)),ISNUMBER(SEARCH("石像鬼",N760)),ISNUMBER(SEARCH("恶灵骑士",N760)),ISNUMBER(SEARCH("黑蝙蝠",N760)),ISNUMBER(SEARCH("血月使徒",N760))),"werewolves","villagers"))</f>
      </c>
      <c r="P760" s="0" t="inlineStr">
        <is>
          <t xml:space="preserve"/>
        </is>
      </c>
      <c r="Q760" s="0">
        <f>IF(P760="","",IF(ROUND(P760,2)=5,"win","loss"))</f>
      </c>
      <c r="R760" s="0" t="inlineStr">
        <is>
          <t xml:space="preserve"/>
        </is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>
        <f>IF(C761="","",IFERROR(LOOKUP(2,1/(($C$2:$C$1001=C761)*($Q$2:$Q$1001="win")),$O$2:$O$1001),""))</f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>
        <f>IF(N761="","",IF(OR(ISNUMBER(SEARCH("狼",N761)),ISNUMBER(SEARCH("石像鬼",N761)),ISNUMBER(SEARCH("恶灵骑士",N761)),ISNUMBER(SEARCH("黑蝙蝠",N761)),ISNUMBER(SEARCH("血月使徒",N761))),"werewolves","villagers"))</f>
      </c>
      <c r="P761" s="0" t="inlineStr">
        <is>
          <t xml:space="preserve"/>
        </is>
      </c>
      <c r="Q761" s="0">
        <f>IF(P761="","",IF(ROUND(P761,2)=5,"win","loss"))</f>
      </c>
      <c r="R761" s="0" t="inlineStr">
        <is>
          <t xml:space="preserve"/>
        </is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>
        <f>IF(C762="","",IFERROR(LOOKUP(2,1/(($C$2:$C$1001=C762)*($Q$2:$Q$1001="win")),$O$2:$O$1001),""))</f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>
        <f>IF(N762="","",IF(OR(ISNUMBER(SEARCH("狼",N762)),ISNUMBER(SEARCH("石像鬼",N762)),ISNUMBER(SEARCH("恶灵骑士",N762)),ISNUMBER(SEARCH("黑蝙蝠",N762)),ISNUMBER(SEARCH("血月使徒",N762))),"werewolves","villagers"))</f>
      </c>
      <c r="P762" s="0" t="inlineStr">
        <is>
          <t xml:space="preserve"/>
        </is>
      </c>
      <c r="Q762" s="0">
        <f>IF(P762="","",IF(ROUND(P762,2)=5,"win","loss"))</f>
      </c>
      <c r="R762" s="0" t="inlineStr">
        <is>
          <t xml:space="preserve"/>
        </is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>
        <f>IF(C763="","",IFERROR(LOOKUP(2,1/(($C$2:$C$1001=C763)*($Q$2:$Q$1001="win")),$O$2:$O$1001),""))</f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>
        <f>IF(N763="","",IF(OR(ISNUMBER(SEARCH("狼",N763)),ISNUMBER(SEARCH("石像鬼",N763)),ISNUMBER(SEARCH("恶灵骑士",N763)),ISNUMBER(SEARCH("黑蝙蝠",N763)),ISNUMBER(SEARCH("血月使徒",N763))),"werewolves","villagers"))</f>
      </c>
      <c r="P763" s="0" t="inlineStr">
        <is>
          <t xml:space="preserve"/>
        </is>
      </c>
      <c r="Q763" s="0">
        <f>IF(P763="","",IF(ROUND(P763,2)=5,"win","loss"))</f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>
        <f>IF(C764="","",IFERROR(LOOKUP(2,1/(($C$2:$C$1001=C764)*($Q$2:$Q$1001="win")),$O$2:$O$1001),""))</f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>
        <f>IF(N764="","",IF(OR(ISNUMBER(SEARCH("狼",N764)),ISNUMBER(SEARCH("石像鬼",N764)),ISNUMBER(SEARCH("恶灵骑士",N764)),ISNUMBER(SEARCH("黑蝙蝠",N764)),ISNUMBER(SEARCH("血月使徒",N764))),"werewolves","villagers"))</f>
      </c>
      <c r="P764" s="0" t="inlineStr">
        <is>
          <t xml:space="preserve"/>
        </is>
      </c>
      <c r="Q764" s="0">
        <f>IF(P764="","",IF(ROUND(P764,2)=5,"win","loss"))</f>
      </c>
      <c r="R764" s="0" t="inlineStr">
        <is>
          <t xml:space="preserve"/>
        </is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>
        <f>IF(C765="","",IFERROR(LOOKUP(2,1/(($C$2:$C$1001=C765)*($Q$2:$Q$1001="win")),$O$2:$O$1001),""))</f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>
        <f>IF(N765="","",IF(OR(ISNUMBER(SEARCH("狼",N765)),ISNUMBER(SEARCH("石像鬼",N765)),ISNUMBER(SEARCH("恶灵骑士",N765)),ISNUMBER(SEARCH("黑蝙蝠",N765)),ISNUMBER(SEARCH("血月使徒",N765))),"werewolves","villagers"))</f>
      </c>
      <c r="P765" s="0" t="inlineStr">
        <is>
          <t xml:space="preserve"/>
        </is>
      </c>
      <c r="Q765" s="0">
        <f>IF(P765="","",IF(ROUND(P765,2)=5,"win","loss"))</f>
      </c>
      <c r="R765" s="0" t="inlineStr">
        <is>
          <t xml:space="preserve"/>
        </is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>
        <f>IF(C766="","",IFERROR(LOOKUP(2,1/(($C$2:$C$1001=C766)*($Q$2:$Q$1001="win")),$O$2:$O$1001),""))</f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>
        <f>IF(N766="","",IF(OR(ISNUMBER(SEARCH("狼",N766)),ISNUMBER(SEARCH("石像鬼",N766)),ISNUMBER(SEARCH("恶灵骑士",N766)),ISNUMBER(SEARCH("黑蝙蝠",N766)),ISNUMBER(SEARCH("血月使徒",N766))),"werewolves","villagers"))</f>
      </c>
      <c r="P766" s="0" t="inlineStr">
        <is>
          <t xml:space="preserve"/>
        </is>
      </c>
      <c r="Q766" s="0">
        <f>IF(P766="","",IF(ROUND(P766,2)=5,"win","loss"))</f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>
        <f>IF(C767="","",IFERROR(LOOKUP(2,1/(($C$2:$C$1001=C767)*($Q$2:$Q$1001="win")),$O$2:$O$1001),""))</f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>
        <f>IF(N767="","",IF(OR(ISNUMBER(SEARCH("狼",N767)),ISNUMBER(SEARCH("石像鬼",N767)),ISNUMBER(SEARCH("恶灵骑士",N767)),ISNUMBER(SEARCH("黑蝙蝠",N767)),ISNUMBER(SEARCH("血月使徒",N767))),"werewolves","villagers"))</f>
      </c>
      <c r="P767" s="0" t="inlineStr">
        <is>
          <t xml:space="preserve"/>
        </is>
      </c>
      <c r="Q767" s="0">
        <f>IF(P767="","",IF(ROUND(P767,2)=5,"win","loss"))</f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>
        <f>IF(C768="","",IFERROR(LOOKUP(2,1/(($C$2:$C$1001=C768)*($Q$2:$Q$1001="win")),$O$2:$O$1001),""))</f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>
        <f>IF(N768="","",IF(OR(ISNUMBER(SEARCH("狼",N768)),ISNUMBER(SEARCH("石像鬼",N768)),ISNUMBER(SEARCH("恶灵骑士",N768)),ISNUMBER(SEARCH("黑蝙蝠",N768)),ISNUMBER(SEARCH("血月使徒",N768))),"werewolves","villagers"))</f>
      </c>
      <c r="P768" s="0" t="inlineStr">
        <is>
          <t xml:space="preserve"/>
        </is>
      </c>
      <c r="Q768" s="0">
        <f>IF(P768="","",IF(ROUND(P768,2)=5,"win","loss"))</f>
      </c>
      <c r="R768" s="0" t="inlineStr">
        <is>
          <t xml:space="preserve"/>
        </is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>
        <f>IF(C769="","",IFERROR(LOOKUP(2,1/(($C$2:$C$1001=C769)*($Q$2:$Q$1001="win")),$O$2:$O$1001),""))</f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>
        <f>IF(N769="","",IF(OR(ISNUMBER(SEARCH("狼",N769)),ISNUMBER(SEARCH("石像鬼",N769)),ISNUMBER(SEARCH("恶灵骑士",N769)),ISNUMBER(SEARCH("黑蝙蝠",N769)),ISNUMBER(SEARCH("血月使徒",N769))),"werewolves","villagers"))</f>
      </c>
      <c r="P769" s="0" t="inlineStr">
        <is>
          <t xml:space="preserve"/>
        </is>
      </c>
      <c r="Q769" s="0">
        <f>IF(P769="","",IF(ROUND(P769,2)=5,"win","loss"))</f>
      </c>
      <c r="R769" s="0" t="inlineStr">
        <is>
          <t xml:space="preserve"/>
        </is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>
        <f>IF(C770="","",IFERROR(LOOKUP(2,1/(($C$2:$C$1001=C770)*($Q$2:$Q$1001="win")),$O$2:$O$1001),""))</f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>
        <f>IF(N770="","",IF(OR(ISNUMBER(SEARCH("狼",N770)),ISNUMBER(SEARCH("石像鬼",N770)),ISNUMBER(SEARCH("恶灵骑士",N770)),ISNUMBER(SEARCH("黑蝙蝠",N770)),ISNUMBER(SEARCH("血月使徒",N770))),"werewolves","villagers"))</f>
      </c>
      <c r="P770" s="0" t="inlineStr">
        <is>
          <t xml:space="preserve"/>
        </is>
      </c>
      <c r="Q770" s="0">
        <f>IF(P770="","",IF(ROUND(P770,2)=5,"win","loss"))</f>
      </c>
      <c r="R770" s="0" t="inlineStr">
        <is>
          <t xml:space="preserve"/>
        </is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>
        <f>IF(C771="","",IFERROR(LOOKUP(2,1/(($C$2:$C$1001=C771)*($Q$2:$Q$1001="win")),$O$2:$O$1001),""))</f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>
        <f>IF(N771="","",IF(OR(ISNUMBER(SEARCH("狼",N771)),ISNUMBER(SEARCH("石像鬼",N771)),ISNUMBER(SEARCH("恶灵骑士",N771)),ISNUMBER(SEARCH("黑蝙蝠",N771)),ISNUMBER(SEARCH("血月使徒",N771))),"werewolves","villagers"))</f>
      </c>
      <c r="P771" s="0" t="inlineStr">
        <is>
          <t xml:space="preserve"/>
        </is>
      </c>
      <c r="Q771" s="0">
        <f>IF(P771="","",IF(ROUND(P771,2)=5,"win","loss"))</f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>
        <f>IF(C772="","",IFERROR(LOOKUP(2,1/(($C$2:$C$1001=C772)*($Q$2:$Q$1001="win")),$O$2:$O$1001),""))</f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>
        <f>IF(N772="","",IF(OR(ISNUMBER(SEARCH("狼",N772)),ISNUMBER(SEARCH("石像鬼",N772)),ISNUMBER(SEARCH("恶灵骑士",N772)),ISNUMBER(SEARCH("黑蝙蝠",N772)),ISNUMBER(SEARCH("血月使徒",N772))),"werewolves","villagers"))</f>
      </c>
      <c r="P772" s="0" t="inlineStr">
        <is>
          <t xml:space="preserve"/>
        </is>
      </c>
      <c r="Q772" s="0">
        <f>IF(P772="","",IF(ROUND(P772,2)=5,"win","loss"))</f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>
        <f>IF(C773="","",IFERROR(LOOKUP(2,1/(($C$2:$C$1001=C773)*($Q$2:$Q$1001="win")),$O$2:$O$1001),""))</f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>
        <f>IF(N773="","",IF(OR(ISNUMBER(SEARCH("狼",N773)),ISNUMBER(SEARCH("石像鬼",N773)),ISNUMBER(SEARCH("恶灵骑士",N773)),ISNUMBER(SEARCH("黑蝙蝠",N773)),ISNUMBER(SEARCH("血月使徒",N773))),"werewolves","villagers"))</f>
      </c>
      <c r="P773" s="0" t="inlineStr">
        <is>
          <t xml:space="preserve"/>
        </is>
      </c>
      <c r="Q773" s="0">
        <f>IF(P773="","",IF(ROUND(P773,2)=5,"win","loss"))</f>
      </c>
      <c r="R773" s="0" t="inlineStr">
        <is>
          <t xml:space="preserve"/>
        </is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>
        <f>IF(C774="","",IFERROR(LOOKUP(2,1/(($C$2:$C$1001=C774)*($Q$2:$Q$1001="win")),$O$2:$O$1001),""))</f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>
        <f>IF(N774="","",IF(OR(ISNUMBER(SEARCH("狼",N774)),ISNUMBER(SEARCH("石像鬼",N774)),ISNUMBER(SEARCH("恶灵骑士",N774)),ISNUMBER(SEARCH("黑蝙蝠",N774)),ISNUMBER(SEARCH("血月使徒",N774))),"werewolves","villagers"))</f>
      </c>
      <c r="P774" s="0" t="inlineStr">
        <is>
          <t xml:space="preserve"/>
        </is>
      </c>
      <c r="Q774" s="0">
        <f>IF(P774="","",IF(ROUND(P774,2)=5,"win","loss"))</f>
      </c>
      <c r="R774" s="0" t="inlineStr">
        <is>
          <t xml:space="preserve"/>
        </is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>
        <f>IF(C775="","",IFERROR(LOOKUP(2,1/(($C$2:$C$1001=C775)*($Q$2:$Q$1001="win")),$O$2:$O$1001),""))</f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>
        <f>IF(N775="","",IF(OR(ISNUMBER(SEARCH("狼",N775)),ISNUMBER(SEARCH("石像鬼",N775)),ISNUMBER(SEARCH("恶灵骑士",N775)),ISNUMBER(SEARCH("黑蝙蝠",N775)),ISNUMBER(SEARCH("血月使徒",N775))),"werewolves","villagers"))</f>
      </c>
      <c r="P775" s="0" t="inlineStr">
        <is>
          <t xml:space="preserve"/>
        </is>
      </c>
      <c r="Q775" s="0">
        <f>IF(P775="","",IF(ROUND(P775,2)=5,"win","loss"))</f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>
        <f>IF(C776="","",IFERROR(LOOKUP(2,1/(($C$2:$C$1001=C776)*($Q$2:$Q$1001="win")),$O$2:$O$1001),""))</f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>
        <f>IF(N776="","",IF(OR(ISNUMBER(SEARCH("狼",N776)),ISNUMBER(SEARCH("石像鬼",N776)),ISNUMBER(SEARCH("恶灵骑士",N776)),ISNUMBER(SEARCH("黑蝙蝠",N776)),ISNUMBER(SEARCH("血月使徒",N776))),"werewolves","villagers"))</f>
      </c>
      <c r="P776" s="0" t="inlineStr">
        <is>
          <t xml:space="preserve"/>
        </is>
      </c>
      <c r="Q776" s="0">
        <f>IF(P776="","",IF(ROUND(P776,2)=5,"win","loss"))</f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>
        <f>IF(C777="","",IFERROR(LOOKUP(2,1/(($C$2:$C$1001=C777)*($Q$2:$Q$1001="win")),$O$2:$O$1001),""))</f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>
        <f>IF(N777="","",IF(OR(ISNUMBER(SEARCH("狼",N777)),ISNUMBER(SEARCH("石像鬼",N777)),ISNUMBER(SEARCH("恶灵骑士",N777)),ISNUMBER(SEARCH("黑蝙蝠",N777)),ISNUMBER(SEARCH("血月使徒",N777))),"werewolves","villagers"))</f>
      </c>
      <c r="P777" s="0" t="inlineStr">
        <is>
          <t xml:space="preserve"/>
        </is>
      </c>
      <c r="Q777" s="0">
        <f>IF(P777="","",IF(ROUND(P777,2)=5,"win","loss"))</f>
      </c>
      <c r="R777" s="0" t="inlineStr">
        <is>
          <t xml:space="preserve"/>
        </is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>
        <f>IF(C778="","",IFERROR(LOOKUP(2,1/(($C$2:$C$1001=C778)*($Q$2:$Q$1001="win")),$O$2:$O$1001),""))</f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>
        <f>IF(N778="","",IF(OR(ISNUMBER(SEARCH("狼",N778)),ISNUMBER(SEARCH("石像鬼",N778)),ISNUMBER(SEARCH("恶灵骑士",N778)),ISNUMBER(SEARCH("黑蝙蝠",N778)),ISNUMBER(SEARCH("血月使徒",N778))),"werewolves","villagers"))</f>
      </c>
      <c r="P778" s="0" t="inlineStr">
        <is>
          <t xml:space="preserve"/>
        </is>
      </c>
      <c r="Q778" s="0">
        <f>IF(P778="","",IF(ROUND(P778,2)=5,"win","loss"))</f>
      </c>
      <c r="R778" s="0" t="inlineStr">
        <is>
          <t xml:space="preserve"/>
        </is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>
        <f>IF(C779="","",IFERROR(LOOKUP(2,1/(($C$2:$C$1001=C779)*($Q$2:$Q$1001="win")),$O$2:$O$1001),""))</f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>
        <f>IF(N779="","",IF(OR(ISNUMBER(SEARCH("狼",N779)),ISNUMBER(SEARCH("石像鬼",N779)),ISNUMBER(SEARCH("恶灵骑士",N779)),ISNUMBER(SEARCH("黑蝙蝠",N779)),ISNUMBER(SEARCH("血月使徒",N779))),"werewolves","villagers"))</f>
      </c>
      <c r="P779" s="0" t="inlineStr">
        <is>
          <t xml:space="preserve"/>
        </is>
      </c>
      <c r="Q779" s="0">
        <f>IF(P779="","",IF(ROUND(P779,2)=5,"win","loss"))</f>
      </c>
      <c r="R779" s="0" t="inlineStr">
        <is>
          <t xml:space="preserve"/>
        </is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>
        <f>IF(C780="","",IFERROR(LOOKUP(2,1/(($C$2:$C$1001=C780)*($Q$2:$Q$1001="win")),$O$2:$O$1001),""))</f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>
        <f>IF(N780="","",IF(OR(ISNUMBER(SEARCH("狼",N780)),ISNUMBER(SEARCH("石像鬼",N780)),ISNUMBER(SEARCH("恶灵骑士",N780)),ISNUMBER(SEARCH("黑蝙蝠",N780)),ISNUMBER(SEARCH("血月使徒",N780))),"werewolves","villagers"))</f>
      </c>
      <c r="P780" s="0" t="inlineStr">
        <is>
          <t xml:space="preserve"/>
        </is>
      </c>
      <c r="Q780" s="0">
        <f>IF(P780="","",IF(ROUND(P780,2)=5,"win","loss"))</f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>
        <f>IF(C781="","",IFERROR(LOOKUP(2,1/(($C$2:$C$1001=C781)*($Q$2:$Q$1001="win")),$O$2:$O$1001),""))</f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>
        <f>IF(N781="","",IF(OR(ISNUMBER(SEARCH("狼",N781)),ISNUMBER(SEARCH("石像鬼",N781)),ISNUMBER(SEARCH("恶灵骑士",N781)),ISNUMBER(SEARCH("黑蝙蝠",N781)),ISNUMBER(SEARCH("血月使徒",N781))),"werewolves","villagers"))</f>
      </c>
      <c r="P781" s="0" t="inlineStr">
        <is>
          <t xml:space="preserve"/>
        </is>
      </c>
      <c r="Q781" s="0">
        <f>IF(P781="","",IF(ROUND(P781,2)=5,"win","loss"))</f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>
        <f>IF(C782="","",IFERROR(LOOKUP(2,1/(($C$2:$C$1001=C782)*($Q$2:$Q$1001="win")),$O$2:$O$1001),""))</f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>
        <f>IF(N782="","",IF(OR(ISNUMBER(SEARCH("狼",N782)),ISNUMBER(SEARCH("石像鬼",N782)),ISNUMBER(SEARCH("恶灵骑士",N782)),ISNUMBER(SEARCH("黑蝙蝠",N782)),ISNUMBER(SEARCH("血月使徒",N782))),"werewolves","villagers"))</f>
      </c>
      <c r="P782" s="0" t="inlineStr">
        <is>
          <t xml:space="preserve"/>
        </is>
      </c>
      <c r="Q782" s="0">
        <f>IF(P782="","",IF(ROUND(P782,2)=5,"win","loss"))</f>
      </c>
      <c r="R782" s="0" t="inlineStr">
        <is>
          <t xml:space="preserve"/>
        </is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>
        <f>IF(C783="","",IFERROR(LOOKUP(2,1/(($C$2:$C$1001=C783)*($Q$2:$Q$1001="win")),$O$2:$O$1001),""))</f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>
        <f>IF(N783="","",IF(OR(ISNUMBER(SEARCH("狼",N783)),ISNUMBER(SEARCH("石像鬼",N783)),ISNUMBER(SEARCH("恶灵骑士",N783)),ISNUMBER(SEARCH("黑蝙蝠",N783)),ISNUMBER(SEARCH("血月使徒",N783))),"werewolves","villagers"))</f>
      </c>
      <c r="P783" s="0" t="inlineStr">
        <is>
          <t xml:space="preserve"/>
        </is>
      </c>
      <c r="Q783" s="0">
        <f>IF(P783="","",IF(ROUND(P783,2)=5,"win","loss"))</f>
      </c>
      <c r="R783" s="0" t="inlineStr">
        <is>
          <t xml:space="preserve"/>
        </is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>
        <f>IF(C784="","",IFERROR(LOOKUP(2,1/(($C$2:$C$1001=C784)*($Q$2:$Q$1001="win")),$O$2:$O$1001),""))</f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>
        <f>IF(N784="","",IF(OR(ISNUMBER(SEARCH("狼",N784)),ISNUMBER(SEARCH("石像鬼",N784)),ISNUMBER(SEARCH("恶灵骑士",N784)),ISNUMBER(SEARCH("黑蝙蝠",N784)),ISNUMBER(SEARCH("血月使徒",N784))),"werewolves","villagers"))</f>
      </c>
      <c r="P784" s="0" t="inlineStr">
        <is>
          <t xml:space="preserve"/>
        </is>
      </c>
      <c r="Q784" s="0">
        <f>IF(P784="","",IF(ROUND(P784,2)=5,"win","loss"))</f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>
        <f>IF(C785="","",IFERROR(LOOKUP(2,1/(($C$2:$C$1001=C785)*($Q$2:$Q$1001="win")),$O$2:$O$1001),""))</f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>
        <f>IF(N785="","",IF(OR(ISNUMBER(SEARCH("狼",N785)),ISNUMBER(SEARCH("石像鬼",N785)),ISNUMBER(SEARCH("恶灵骑士",N785)),ISNUMBER(SEARCH("黑蝙蝠",N785)),ISNUMBER(SEARCH("血月使徒",N785))),"werewolves","villagers"))</f>
      </c>
      <c r="P785" s="0" t="inlineStr">
        <is>
          <t xml:space="preserve"/>
        </is>
      </c>
      <c r="Q785" s="0">
        <f>IF(P785="","",IF(ROUND(P785,2)=5,"win","loss"))</f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>
        <f>IF(C786="","",IFERROR(LOOKUP(2,1/(($C$2:$C$1001=C786)*($Q$2:$Q$1001="win")),$O$2:$O$1001),""))</f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>
        <f>IF(N786="","",IF(OR(ISNUMBER(SEARCH("狼",N786)),ISNUMBER(SEARCH("石像鬼",N786)),ISNUMBER(SEARCH("恶灵骑士",N786)),ISNUMBER(SEARCH("黑蝙蝠",N786)),ISNUMBER(SEARCH("血月使徒",N786))),"werewolves","villagers"))</f>
      </c>
      <c r="P786" s="0" t="inlineStr">
        <is>
          <t xml:space="preserve"/>
        </is>
      </c>
      <c r="Q786" s="0">
        <f>IF(P786="","",IF(ROUND(P786,2)=5,"win","loss"))</f>
      </c>
      <c r="R786" s="0" t="inlineStr">
        <is>
          <t xml:space="preserve"/>
        </is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>
        <f>IF(C787="","",IFERROR(LOOKUP(2,1/(($C$2:$C$1001=C787)*($Q$2:$Q$1001="win")),$O$2:$O$1001),""))</f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>
        <f>IF(N787="","",IF(OR(ISNUMBER(SEARCH("狼",N787)),ISNUMBER(SEARCH("石像鬼",N787)),ISNUMBER(SEARCH("恶灵骑士",N787)),ISNUMBER(SEARCH("黑蝙蝠",N787)),ISNUMBER(SEARCH("血月使徒",N787))),"werewolves","villagers"))</f>
      </c>
      <c r="P787" s="0" t="inlineStr">
        <is>
          <t xml:space="preserve"/>
        </is>
      </c>
      <c r="Q787" s="0">
        <f>IF(P787="","",IF(ROUND(P787,2)=5,"win","loss"))</f>
      </c>
      <c r="R787" s="0" t="inlineStr">
        <is>
          <t xml:space="preserve"/>
        </is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>
        <f>IF(C788="","",IFERROR(LOOKUP(2,1/(($C$2:$C$1001=C788)*($Q$2:$Q$1001="win")),$O$2:$O$1001),""))</f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>
        <f>IF(N788="","",IF(OR(ISNUMBER(SEARCH("狼",N788)),ISNUMBER(SEARCH("石像鬼",N788)),ISNUMBER(SEARCH("恶灵骑士",N788)),ISNUMBER(SEARCH("黑蝙蝠",N788)),ISNUMBER(SEARCH("血月使徒",N788))),"werewolves","villagers"))</f>
      </c>
      <c r="P788" s="0" t="inlineStr">
        <is>
          <t xml:space="preserve"/>
        </is>
      </c>
      <c r="Q788" s="0">
        <f>IF(P788="","",IF(ROUND(P788,2)=5,"win","loss"))</f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>
        <f>IF(C789="","",IFERROR(LOOKUP(2,1/(($C$2:$C$1001=C789)*($Q$2:$Q$1001="win")),$O$2:$O$1001),""))</f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>
        <f>IF(N789="","",IF(OR(ISNUMBER(SEARCH("狼",N789)),ISNUMBER(SEARCH("石像鬼",N789)),ISNUMBER(SEARCH("恶灵骑士",N789)),ISNUMBER(SEARCH("黑蝙蝠",N789)),ISNUMBER(SEARCH("血月使徒",N789))),"werewolves","villagers"))</f>
      </c>
      <c r="P789" s="0" t="inlineStr">
        <is>
          <t xml:space="preserve"/>
        </is>
      </c>
      <c r="Q789" s="0">
        <f>IF(P789="","",IF(ROUND(P789,2)=5,"win","loss"))</f>
      </c>
      <c r="R789" s="0" t="inlineStr">
        <is>
          <t xml:space="preserve"/>
        </is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>
        <f>IF(C790="","",IFERROR(LOOKUP(2,1/(($C$2:$C$1001=C790)*($Q$2:$Q$1001="win")),$O$2:$O$1001),""))</f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>
        <f>IF(N790="","",IF(OR(ISNUMBER(SEARCH("狼",N790)),ISNUMBER(SEARCH("石像鬼",N790)),ISNUMBER(SEARCH("恶灵骑士",N790)),ISNUMBER(SEARCH("黑蝙蝠",N790)),ISNUMBER(SEARCH("血月使徒",N790))),"werewolves","villagers"))</f>
      </c>
      <c r="P790" s="0" t="inlineStr">
        <is>
          <t xml:space="preserve"/>
        </is>
      </c>
      <c r="Q790" s="0">
        <f>IF(P790="","",IF(ROUND(P790,2)=5,"win","loss"))</f>
      </c>
      <c r="R790" s="0" t="inlineStr">
        <is>
          <t xml:space="preserve"/>
        </is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>
        <f>IF(C791="","",IFERROR(LOOKUP(2,1/(($C$2:$C$1001=C791)*($Q$2:$Q$1001="win")),$O$2:$O$1001),""))</f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>
        <f>IF(N791="","",IF(OR(ISNUMBER(SEARCH("狼",N791)),ISNUMBER(SEARCH("石像鬼",N791)),ISNUMBER(SEARCH("恶灵骑士",N791)),ISNUMBER(SEARCH("黑蝙蝠",N791)),ISNUMBER(SEARCH("血月使徒",N791))),"werewolves","villagers"))</f>
      </c>
      <c r="P791" s="0" t="inlineStr">
        <is>
          <t xml:space="preserve"/>
        </is>
      </c>
      <c r="Q791" s="0">
        <f>IF(P791="","",IF(ROUND(P791,2)=5,"win","loss"))</f>
      </c>
      <c r="R791" s="0" t="inlineStr">
        <is>
          <t xml:space="preserve"/>
        </is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>
        <f>IF(C792="","",IFERROR(LOOKUP(2,1/(($C$2:$C$1001=C792)*($Q$2:$Q$1001="win")),$O$2:$O$1001),""))</f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>
        <f>IF(N792="","",IF(OR(ISNUMBER(SEARCH("狼",N792)),ISNUMBER(SEARCH("石像鬼",N792)),ISNUMBER(SEARCH("恶灵骑士",N792)),ISNUMBER(SEARCH("黑蝙蝠",N792)),ISNUMBER(SEARCH("血月使徒",N792))),"werewolves","villagers"))</f>
      </c>
      <c r="P792" s="0" t="inlineStr">
        <is>
          <t xml:space="preserve"/>
        </is>
      </c>
      <c r="Q792" s="0">
        <f>IF(P792="","",IF(ROUND(P792,2)=5,"win","loss"))</f>
      </c>
      <c r="R792" s="0" t="inlineStr">
        <is>
          <t xml:space="preserve"/>
        </is>
      </c>
      <c r="S792" s="0" t="inlineStr">
        <is>
          <t xml:space="preserve"/>
        </is>
      </c>
      <c r="T792" s="0" t="inlineStr">
        <is>
          <t xml:space="preserve"/>
        </is>
      </c>
      <c r="U792" s="0" t="inlineStr">
        <is>
          <t xml:space="preserve"/>
        </is>
      </c>
      <c r="V792" s="0" t="inlineStr">
        <is>
          <t xml:space="preserve"/>
        </is>
      </c>
      <c r="W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>
        <f>IF(C793="","",IFERROR(LOOKUP(2,1/(($C$2:$C$1001=C793)*($Q$2:$Q$1001="win")),$O$2:$O$1001),""))</f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>
        <f>IF(N793="","",IF(OR(ISNUMBER(SEARCH("狼",N793)),ISNUMBER(SEARCH("石像鬼",N793)),ISNUMBER(SEARCH("恶灵骑士",N793)),ISNUMBER(SEARCH("黑蝙蝠",N793)),ISNUMBER(SEARCH("血月使徒",N793))),"werewolves","villagers"))</f>
      </c>
      <c r="P793" s="0" t="inlineStr">
        <is>
          <t xml:space="preserve"/>
        </is>
      </c>
      <c r="Q793" s="0">
        <f>IF(P793="","",IF(ROUND(P793,2)=5,"win","loss"))</f>
      </c>
      <c r="R793" s="0" t="inlineStr">
        <is>
          <t xml:space="preserve"/>
        </is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>
        <f>IF(C794="","",IFERROR(LOOKUP(2,1/(($C$2:$C$1001=C794)*($Q$2:$Q$1001="win")),$O$2:$O$1001),""))</f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>
        <f>IF(N794="","",IF(OR(ISNUMBER(SEARCH("狼",N794)),ISNUMBER(SEARCH("石像鬼",N794)),ISNUMBER(SEARCH("恶灵骑士",N794)),ISNUMBER(SEARCH("黑蝙蝠",N794)),ISNUMBER(SEARCH("血月使徒",N794))),"werewolves","villagers"))</f>
      </c>
      <c r="P794" s="0" t="inlineStr">
        <is>
          <t xml:space="preserve"/>
        </is>
      </c>
      <c r="Q794" s="0">
        <f>IF(P794="","",IF(ROUND(P794,2)=5,"win","loss"))</f>
      </c>
      <c r="R794" s="0" t="inlineStr">
        <is>
          <t xml:space="preserve"/>
        </is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>
        <f>IF(C795="","",IFERROR(LOOKUP(2,1/(($C$2:$C$1001=C795)*($Q$2:$Q$1001="win")),$O$2:$O$1001),""))</f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>
        <f>IF(N795="","",IF(OR(ISNUMBER(SEARCH("狼",N795)),ISNUMBER(SEARCH("石像鬼",N795)),ISNUMBER(SEARCH("恶灵骑士",N795)),ISNUMBER(SEARCH("黑蝙蝠",N795)),ISNUMBER(SEARCH("血月使徒",N795))),"werewolves","villagers"))</f>
      </c>
      <c r="P795" s="0" t="inlineStr">
        <is>
          <t xml:space="preserve"/>
        </is>
      </c>
      <c r="Q795" s="0">
        <f>IF(P795="","",IF(ROUND(P795,2)=5,"win","loss"))</f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>
        <f>IF(C796="","",IFERROR(LOOKUP(2,1/(($C$2:$C$1001=C796)*($Q$2:$Q$1001="win")),$O$2:$O$1001),""))</f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>
        <f>IF(N796="","",IF(OR(ISNUMBER(SEARCH("狼",N796)),ISNUMBER(SEARCH("石像鬼",N796)),ISNUMBER(SEARCH("恶灵骑士",N796)),ISNUMBER(SEARCH("黑蝙蝠",N796)),ISNUMBER(SEARCH("血月使徒",N796))),"werewolves","villagers"))</f>
      </c>
      <c r="P796" s="0" t="inlineStr">
        <is>
          <t xml:space="preserve"/>
        </is>
      </c>
      <c r="Q796" s="0">
        <f>IF(P796="","",IF(ROUND(P796,2)=5,"win","loss"))</f>
      </c>
      <c r="R796" s="0" t="inlineStr">
        <is>
          <t xml:space="preserve"/>
        </is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>
        <f>IF(C797="","",IFERROR(LOOKUP(2,1/(($C$2:$C$1001=C797)*($Q$2:$Q$1001="win")),$O$2:$O$1001),""))</f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>
        <f>IF(N797="","",IF(OR(ISNUMBER(SEARCH("狼",N797)),ISNUMBER(SEARCH("石像鬼",N797)),ISNUMBER(SEARCH("恶灵骑士",N797)),ISNUMBER(SEARCH("黑蝙蝠",N797)),ISNUMBER(SEARCH("血月使徒",N797))),"werewolves","villagers"))</f>
      </c>
      <c r="P797" s="0" t="inlineStr">
        <is>
          <t xml:space="preserve"/>
        </is>
      </c>
      <c r="Q797" s="0">
        <f>IF(P797="","",IF(ROUND(P797,2)=5,"win","loss"))</f>
      </c>
      <c r="R797" s="0" t="inlineStr">
        <is>
          <t xml:space="preserve"/>
        </is>
      </c>
      <c r="S797" s="0" t="inlineStr">
        <is>
          <t xml:space="preserve"/>
        </is>
      </c>
      <c r="T797" s="0" t="inlineStr">
        <is>
          <t xml:space="preserve"/>
        </is>
      </c>
      <c r="U797" s="0" t="inlineStr">
        <is>
          <t xml:space="preserve"/>
        </is>
      </c>
      <c r="V797" s="0" t="inlineStr">
        <is>
          <t xml:space="preserve"/>
        </is>
      </c>
      <c r="W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>
        <f>IF(C798="","",IFERROR(LOOKUP(2,1/(($C$2:$C$1001=C798)*($Q$2:$Q$1001="win")),$O$2:$O$1001),""))</f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>
        <f>IF(N798="","",IF(OR(ISNUMBER(SEARCH("狼",N798)),ISNUMBER(SEARCH("石像鬼",N798)),ISNUMBER(SEARCH("恶灵骑士",N798)),ISNUMBER(SEARCH("黑蝙蝠",N798)),ISNUMBER(SEARCH("血月使徒",N798))),"werewolves","villagers"))</f>
      </c>
      <c r="P798" s="0" t="inlineStr">
        <is>
          <t xml:space="preserve"/>
        </is>
      </c>
      <c r="Q798" s="0">
        <f>IF(P798="","",IF(ROUND(P798,2)=5,"win","loss"))</f>
      </c>
      <c r="R798" s="0" t="inlineStr">
        <is>
          <t xml:space="preserve"/>
        </is>
      </c>
      <c r="S798" s="0" t="inlineStr">
        <is>
          <t xml:space="preserve"/>
        </is>
      </c>
      <c r="T798" s="0" t="inlineStr">
        <is>
          <t xml:space="preserve"/>
        </is>
      </c>
      <c r="U798" s="0" t="inlineStr">
        <is>
          <t xml:space="preserve"/>
        </is>
      </c>
      <c r="V798" s="0" t="inlineStr">
        <is>
          <t xml:space="preserve"/>
        </is>
      </c>
      <c r="W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>
        <f>IF(C799="","",IFERROR(LOOKUP(2,1/(($C$2:$C$1001=C799)*($Q$2:$Q$1001="win")),$O$2:$O$1001),""))</f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>
        <f>IF(N799="","",IF(OR(ISNUMBER(SEARCH("狼",N799)),ISNUMBER(SEARCH("石像鬼",N799)),ISNUMBER(SEARCH("恶灵骑士",N799)),ISNUMBER(SEARCH("黑蝙蝠",N799)),ISNUMBER(SEARCH("血月使徒",N799))),"werewolves","villagers"))</f>
      </c>
      <c r="P799" s="0" t="inlineStr">
        <is>
          <t xml:space="preserve"/>
        </is>
      </c>
      <c r="Q799" s="0">
        <f>IF(P799="","",IF(ROUND(P799,2)=5,"win","loss"))</f>
      </c>
      <c r="R799" s="0" t="inlineStr">
        <is>
          <t xml:space="preserve"/>
        </is>
      </c>
      <c r="S799" s="0" t="inlineStr">
        <is>
          <t xml:space="preserve"/>
        </is>
      </c>
      <c r="T799" s="0" t="inlineStr">
        <is>
          <t xml:space="preserve"/>
        </is>
      </c>
      <c r="U799" s="0" t="inlineStr">
        <is>
          <t xml:space="preserve"/>
        </is>
      </c>
      <c r="V799" s="0" t="inlineStr">
        <is>
          <t xml:space="preserve"/>
        </is>
      </c>
      <c r="W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>
        <f>IF(C800="","",IFERROR(LOOKUP(2,1/(($C$2:$C$1001=C800)*($Q$2:$Q$1001="win")),$O$2:$O$1001),""))</f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>
        <f>IF(N800="","",IF(OR(ISNUMBER(SEARCH("狼",N800)),ISNUMBER(SEARCH("石像鬼",N800)),ISNUMBER(SEARCH("恶灵骑士",N800)),ISNUMBER(SEARCH("黑蝙蝠",N800)),ISNUMBER(SEARCH("血月使徒",N800))),"werewolves","villagers"))</f>
      </c>
      <c r="P800" s="0" t="inlineStr">
        <is>
          <t xml:space="preserve"/>
        </is>
      </c>
      <c r="Q800" s="0">
        <f>IF(P800="","",IF(ROUND(P800,2)=5,"win","loss"))</f>
      </c>
      <c r="R800" s="0" t="inlineStr">
        <is>
          <t xml:space="preserve"/>
        </is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>
        <f>IF(C801="","",IFERROR(LOOKUP(2,1/(($C$2:$C$1001=C801)*($Q$2:$Q$1001="win")),$O$2:$O$1001),""))</f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>
        <f>IF(N801="","",IF(OR(ISNUMBER(SEARCH("狼",N801)),ISNUMBER(SEARCH("石像鬼",N801)),ISNUMBER(SEARCH("恶灵骑士",N801)),ISNUMBER(SEARCH("黑蝙蝠",N801)),ISNUMBER(SEARCH("血月使徒",N801))),"werewolves","villagers"))</f>
      </c>
      <c r="P801" s="0" t="inlineStr">
        <is>
          <t xml:space="preserve"/>
        </is>
      </c>
      <c r="Q801" s="0">
        <f>IF(P801="","",IF(ROUND(P801,2)=5,"win","loss"))</f>
      </c>
      <c r="R801" s="0" t="inlineStr">
        <is>
          <t xml:space="preserve"/>
        </is>
      </c>
      <c r="S801" s="0" t="inlineStr">
        <is>
          <t xml:space="preserve"/>
        </is>
      </c>
      <c r="T801" s="0" t="inlineStr">
        <is>
          <t xml:space="preserve"/>
        </is>
      </c>
      <c r="U801" s="0" t="inlineStr">
        <is>
          <t xml:space="preserve"/>
        </is>
      </c>
      <c r="V801" s="0" t="inlineStr">
        <is>
          <t xml:space="preserve"/>
        </is>
      </c>
      <c r="W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>
        <f>IF(C802="","",IFERROR(LOOKUP(2,1/(($C$2:$C$1001=C802)*($Q$2:$Q$1001="win")),$O$2:$O$1001),""))</f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>
        <f>IF(N802="","",IF(OR(ISNUMBER(SEARCH("狼",N802)),ISNUMBER(SEARCH("石像鬼",N802)),ISNUMBER(SEARCH("恶灵骑士",N802)),ISNUMBER(SEARCH("黑蝙蝠",N802)),ISNUMBER(SEARCH("血月使徒",N802))),"werewolves","villagers"))</f>
      </c>
      <c r="P802" s="0" t="inlineStr">
        <is>
          <t xml:space="preserve"/>
        </is>
      </c>
      <c r="Q802" s="0">
        <f>IF(P802="","",IF(ROUND(P802,2)=5,"win","loss"))</f>
      </c>
      <c r="R802" s="0" t="inlineStr">
        <is>
          <t xml:space="preserve"/>
        </is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>
        <f>IF(C803="","",IFERROR(LOOKUP(2,1/(($C$2:$C$1001=C803)*($Q$2:$Q$1001="win")),$O$2:$O$1001),""))</f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>
        <f>IF(N803="","",IF(OR(ISNUMBER(SEARCH("狼",N803)),ISNUMBER(SEARCH("石像鬼",N803)),ISNUMBER(SEARCH("恶灵骑士",N803)),ISNUMBER(SEARCH("黑蝙蝠",N803)),ISNUMBER(SEARCH("血月使徒",N803))),"werewolves","villagers"))</f>
      </c>
      <c r="P803" s="0" t="inlineStr">
        <is>
          <t xml:space="preserve"/>
        </is>
      </c>
      <c r="Q803" s="0">
        <f>IF(P803="","",IF(ROUND(P803,2)=5,"win","loss"))</f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>
        <f>IF(C804="","",IFERROR(LOOKUP(2,1/(($C$2:$C$1001=C804)*($Q$2:$Q$1001="win")),$O$2:$O$1001),""))</f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>
        <f>IF(N804="","",IF(OR(ISNUMBER(SEARCH("狼",N804)),ISNUMBER(SEARCH("石像鬼",N804)),ISNUMBER(SEARCH("恶灵骑士",N804)),ISNUMBER(SEARCH("黑蝙蝠",N804)),ISNUMBER(SEARCH("血月使徒",N804))),"werewolves","villagers"))</f>
      </c>
      <c r="P804" s="0" t="inlineStr">
        <is>
          <t xml:space="preserve"/>
        </is>
      </c>
      <c r="Q804" s="0">
        <f>IF(P804="","",IF(ROUND(P804,2)=5,"win","loss"))</f>
      </c>
      <c r="R804" s="0" t="inlineStr">
        <is>
          <t xml:space="preserve"/>
        </is>
      </c>
      <c r="S804" s="0" t="inlineStr">
        <is>
          <t xml:space="preserve"/>
        </is>
      </c>
      <c r="T804" s="0" t="inlineStr">
        <is>
          <t xml:space="preserve"/>
        </is>
      </c>
      <c r="U804" s="0" t="inlineStr">
        <is>
          <t xml:space="preserve"/>
        </is>
      </c>
      <c r="V804" s="0" t="inlineStr">
        <is>
          <t xml:space="preserve"/>
        </is>
      </c>
      <c r="W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>
        <f>IF(C805="","",IFERROR(LOOKUP(2,1/(($C$2:$C$1001=C805)*($Q$2:$Q$1001="win")),$O$2:$O$1001),""))</f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>
        <f>IF(N805="","",IF(OR(ISNUMBER(SEARCH("狼",N805)),ISNUMBER(SEARCH("石像鬼",N805)),ISNUMBER(SEARCH("恶灵骑士",N805)),ISNUMBER(SEARCH("黑蝙蝠",N805)),ISNUMBER(SEARCH("血月使徒",N805))),"werewolves","villagers"))</f>
      </c>
      <c r="P805" s="0" t="inlineStr">
        <is>
          <t xml:space="preserve"/>
        </is>
      </c>
      <c r="Q805" s="0">
        <f>IF(P805="","",IF(ROUND(P805,2)=5,"win","loss"))</f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>
        <f>IF(C806="","",IFERROR(LOOKUP(2,1/(($C$2:$C$1001=C806)*($Q$2:$Q$1001="win")),$O$2:$O$1001),""))</f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>
        <f>IF(N806="","",IF(OR(ISNUMBER(SEARCH("狼",N806)),ISNUMBER(SEARCH("石像鬼",N806)),ISNUMBER(SEARCH("恶灵骑士",N806)),ISNUMBER(SEARCH("黑蝙蝠",N806)),ISNUMBER(SEARCH("血月使徒",N806))),"werewolves","villagers"))</f>
      </c>
      <c r="P806" s="0" t="inlineStr">
        <is>
          <t xml:space="preserve"/>
        </is>
      </c>
      <c r="Q806" s="0">
        <f>IF(P806="","",IF(ROUND(P806,2)=5,"win","loss"))</f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>
        <f>IF(C807="","",IFERROR(LOOKUP(2,1/(($C$2:$C$1001=C807)*($Q$2:$Q$1001="win")),$O$2:$O$1001),""))</f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>
        <f>IF(N807="","",IF(OR(ISNUMBER(SEARCH("狼",N807)),ISNUMBER(SEARCH("石像鬼",N807)),ISNUMBER(SEARCH("恶灵骑士",N807)),ISNUMBER(SEARCH("黑蝙蝠",N807)),ISNUMBER(SEARCH("血月使徒",N807))),"werewolves","villagers"))</f>
      </c>
      <c r="P807" s="0" t="inlineStr">
        <is>
          <t xml:space="preserve"/>
        </is>
      </c>
      <c r="Q807" s="0">
        <f>IF(P807="","",IF(ROUND(P807,2)=5,"win","loss"))</f>
      </c>
      <c r="R807" s="0" t="inlineStr">
        <is>
          <t xml:space="preserve"/>
        </is>
      </c>
      <c r="S807" s="0" t="inlineStr">
        <is>
          <t xml:space="preserve"/>
        </is>
      </c>
      <c r="T807" s="0" t="inlineStr">
        <is>
          <t xml:space="preserve"/>
        </is>
      </c>
      <c r="U807" s="0" t="inlineStr">
        <is>
          <t xml:space="preserve"/>
        </is>
      </c>
      <c r="V807" s="0" t="inlineStr">
        <is>
          <t xml:space="preserve"/>
        </is>
      </c>
      <c r="W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>
        <f>IF(C808="","",IFERROR(LOOKUP(2,1/(($C$2:$C$1001=C808)*($Q$2:$Q$1001="win")),$O$2:$O$1001),""))</f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>
        <f>IF(N808="","",IF(OR(ISNUMBER(SEARCH("狼",N808)),ISNUMBER(SEARCH("石像鬼",N808)),ISNUMBER(SEARCH("恶灵骑士",N808)),ISNUMBER(SEARCH("黑蝙蝠",N808)),ISNUMBER(SEARCH("血月使徒",N808))),"werewolves","villagers"))</f>
      </c>
      <c r="P808" s="0" t="inlineStr">
        <is>
          <t xml:space="preserve"/>
        </is>
      </c>
      <c r="Q808" s="0">
        <f>IF(P808="","",IF(ROUND(P808,2)=5,"win","loss"))</f>
      </c>
      <c r="R808" s="0" t="inlineStr">
        <is>
          <t xml:space="preserve"/>
        </is>
      </c>
      <c r="S808" s="0" t="inlineStr">
        <is>
          <t xml:space="preserve"/>
        </is>
      </c>
      <c r="T808" s="0" t="inlineStr">
        <is>
          <t xml:space="preserve"/>
        </is>
      </c>
      <c r="U808" s="0" t="inlineStr">
        <is>
          <t xml:space="preserve"/>
        </is>
      </c>
      <c r="V808" s="0" t="inlineStr">
        <is>
          <t xml:space="preserve"/>
        </is>
      </c>
      <c r="W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>
        <f>IF(C809="","",IFERROR(LOOKUP(2,1/(($C$2:$C$1001=C809)*($Q$2:$Q$1001="win")),$O$2:$O$1001),""))</f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>
        <f>IF(N809="","",IF(OR(ISNUMBER(SEARCH("狼",N809)),ISNUMBER(SEARCH("石像鬼",N809)),ISNUMBER(SEARCH("恶灵骑士",N809)),ISNUMBER(SEARCH("黑蝙蝠",N809)),ISNUMBER(SEARCH("血月使徒",N809))),"werewolves","villagers"))</f>
      </c>
      <c r="P809" s="0" t="inlineStr">
        <is>
          <t xml:space="preserve"/>
        </is>
      </c>
      <c r="Q809" s="0">
        <f>IF(P809="","",IF(ROUND(P809,2)=5,"win","loss"))</f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>
        <f>IF(C810="","",IFERROR(LOOKUP(2,1/(($C$2:$C$1001=C810)*($Q$2:$Q$1001="win")),$O$2:$O$1001),""))</f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>
        <f>IF(N810="","",IF(OR(ISNUMBER(SEARCH("狼",N810)),ISNUMBER(SEARCH("石像鬼",N810)),ISNUMBER(SEARCH("恶灵骑士",N810)),ISNUMBER(SEARCH("黑蝙蝠",N810)),ISNUMBER(SEARCH("血月使徒",N810))),"werewolves","villagers"))</f>
      </c>
      <c r="P810" s="0" t="inlineStr">
        <is>
          <t xml:space="preserve"/>
        </is>
      </c>
      <c r="Q810" s="0">
        <f>IF(P810="","",IF(ROUND(P810,2)=5,"win","loss"))</f>
      </c>
      <c r="R810" s="0" t="inlineStr">
        <is>
          <t xml:space="preserve"/>
        </is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>
        <f>IF(C811="","",IFERROR(LOOKUP(2,1/(($C$2:$C$1001=C811)*($Q$2:$Q$1001="win")),$O$2:$O$1001),""))</f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>
        <f>IF(N811="","",IF(OR(ISNUMBER(SEARCH("狼",N811)),ISNUMBER(SEARCH("石像鬼",N811)),ISNUMBER(SEARCH("恶灵骑士",N811)),ISNUMBER(SEARCH("黑蝙蝠",N811)),ISNUMBER(SEARCH("血月使徒",N811))),"werewolves","villagers"))</f>
      </c>
      <c r="P811" s="0" t="inlineStr">
        <is>
          <t xml:space="preserve"/>
        </is>
      </c>
      <c r="Q811" s="0">
        <f>IF(P811="","",IF(ROUND(P811,2)=5,"win","loss"))</f>
      </c>
      <c r="R811" s="0" t="inlineStr">
        <is>
          <t xml:space="preserve"/>
        </is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>
        <f>IF(C812="","",IFERROR(LOOKUP(2,1/(($C$2:$C$1001=C812)*($Q$2:$Q$1001="win")),$O$2:$O$1001),""))</f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>
        <f>IF(N812="","",IF(OR(ISNUMBER(SEARCH("狼",N812)),ISNUMBER(SEARCH("石像鬼",N812)),ISNUMBER(SEARCH("恶灵骑士",N812)),ISNUMBER(SEARCH("黑蝙蝠",N812)),ISNUMBER(SEARCH("血月使徒",N812))),"werewolves","villagers"))</f>
      </c>
      <c r="P812" s="0" t="inlineStr">
        <is>
          <t xml:space="preserve"/>
        </is>
      </c>
      <c r="Q812" s="0">
        <f>IF(P812="","",IF(ROUND(P812,2)=5,"win","loss"))</f>
      </c>
      <c r="R812" s="0" t="inlineStr">
        <is>
          <t xml:space="preserve"/>
        </is>
      </c>
      <c r="S812" s="0" t="inlineStr">
        <is>
          <t xml:space="preserve"/>
        </is>
      </c>
      <c r="T812" s="0" t="inlineStr">
        <is>
          <t xml:space="preserve"/>
        </is>
      </c>
      <c r="U812" s="0" t="inlineStr">
        <is>
          <t xml:space="preserve"/>
        </is>
      </c>
      <c r="V812" s="0" t="inlineStr">
        <is>
          <t xml:space="preserve"/>
        </is>
      </c>
      <c r="W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>
        <f>IF(C813="","",IFERROR(LOOKUP(2,1/(($C$2:$C$1001=C813)*($Q$2:$Q$1001="win")),$O$2:$O$1001),""))</f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>
        <f>IF(N813="","",IF(OR(ISNUMBER(SEARCH("狼",N813)),ISNUMBER(SEARCH("石像鬼",N813)),ISNUMBER(SEARCH("恶灵骑士",N813)),ISNUMBER(SEARCH("黑蝙蝠",N813)),ISNUMBER(SEARCH("血月使徒",N813))),"werewolves","villagers"))</f>
      </c>
      <c r="P813" s="0" t="inlineStr">
        <is>
          <t xml:space="preserve"/>
        </is>
      </c>
      <c r="Q813" s="0">
        <f>IF(P813="","",IF(ROUND(P813,2)=5,"win","loss"))</f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>
        <f>IF(C814="","",IFERROR(LOOKUP(2,1/(($C$2:$C$1001=C814)*($Q$2:$Q$1001="win")),$O$2:$O$1001),""))</f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>
        <f>IF(N814="","",IF(OR(ISNUMBER(SEARCH("狼",N814)),ISNUMBER(SEARCH("石像鬼",N814)),ISNUMBER(SEARCH("恶灵骑士",N814)),ISNUMBER(SEARCH("黑蝙蝠",N814)),ISNUMBER(SEARCH("血月使徒",N814))),"werewolves","villagers"))</f>
      </c>
      <c r="P814" s="0" t="inlineStr">
        <is>
          <t xml:space="preserve"/>
        </is>
      </c>
      <c r="Q814" s="0">
        <f>IF(P814="","",IF(ROUND(P814,2)=5,"win","loss"))</f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>
        <f>IF(C815="","",IFERROR(LOOKUP(2,1/(($C$2:$C$1001=C815)*($Q$2:$Q$1001="win")),$O$2:$O$1001),""))</f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>
        <f>IF(N815="","",IF(OR(ISNUMBER(SEARCH("狼",N815)),ISNUMBER(SEARCH("石像鬼",N815)),ISNUMBER(SEARCH("恶灵骑士",N815)),ISNUMBER(SEARCH("黑蝙蝠",N815)),ISNUMBER(SEARCH("血月使徒",N815))),"werewolves","villagers"))</f>
      </c>
      <c r="P815" s="0" t="inlineStr">
        <is>
          <t xml:space="preserve"/>
        </is>
      </c>
      <c r="Q815" s="0">
        <f>IF(P815="","",IF(ROUND(P815,2)=5,"win","loss"))</f>
      </c>
      <c r="R815" s="0" t="inlineStr">
        <is>
          <t xml:space="preserve"/>
        </is>
      </c>
      <c r="S815" s="0" t="inlineStr">
        <is>
          <t xml:space="preserve"/>
        </is>
      </c>
      <c r="T815" s="0" t="inlineStr">
        <is>
          <t xml:space="preserve"/>
        </is>
      </c>
      <c r="U815" s="0" t="inlineStr">
        <is>
          <t xml:space="preserve"/>
        </is>
      </c>
      <c r="V815" s="0" t="inlineStr">
        <is>
          <t xml:space="preserve"/>
        </is>
      </c>
      <c r="W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>
        <f>IF(C816="","",IFERROR(LOOKUP(2,1/(($C$2:$C$1001=C816)*($Q$2:$Q$1001="win")),$O$2:$O$1001),""))</f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>
        <f>IF(N816="","",IF(OR(ISNUMBER(SEARCH("狼",N816)),ISNUMBER(SEARCH("石像鬼",N816)),ISNUMBER(SEARCH("恶灵骑士",N816)),ISNUMBER(SEARCH("黑蝙蝠",N816)),ISNUMBER(SEARCH("血月使徒",N816))),"werewolves","villagers"))</f>
      </c>
      <c r="P816" s="0" t="inlineStr">
        <is>
          <t xml:space="preserve"/>
        </is>
      </c>
      <c r="Q816" s="0">
        <f>IF(P816="","",IF(ROUND(P816,2)=5,"win","loss"))</f>
      </c>
      <c r="R816" s="0" t="inlineStr">
        <is>
          <t xml:space="preserve"/>
        </is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>
        <f>IF(C817="","",IFERROR(LOOKUP(2,1/(($C$2:$C$1001=C817)*($Q$2:$Q$1001="win")),$O$2:$O$1001),""))</f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>
        <f>IF(N817="","",IF(OR(ISNUMBER(SEARCH("狼",N817)),ISNUMBER(SEARCH("石像鬼",N817)),ISNUMBER(SEARCH("恶灵骑士",N817)),ISNUMBER(SEARCH("黑蝙蝠",N817)),ISNUMBER(SEARCH("血月使徒",N817))),"werewolves","villagers"))</f>
      </c>
      <c r="P817" s="0" t="inlineStr">
        <is>
          <t xml:space="preserve"/>
        </is>
      </c>
      <c r="Q817" s="0">
        <f>IF(P817="","",IF(ROUND(P817,2)=5,"win","loss"))</f>
      </c>
      <c r="R817" s="0" t="inlineStr">
        <is>
          <t xml:space="preserve"/>
        </is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>
        <f>IF(C818="","",IFERROR(LOOKUP(2,1/(($C$2:$C$1001=C818)*($Q$2:$Q$1001="win")),$O$2:$O$1001),""))</f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>
        <f>IF(N818="","",IF(OR(ISNUMBER(SEARCH("狼",N818)),ISNUMBER(SEARCH("石像鬼",N818)),ISNUMBER(SEARCH("恶灵骑士",N818)),ISNUMBER(SEARCH("黑蝙蝠",N818)),ISNUMBER(SEARCH("血月使徒",N818))),"werewolves","villagers"))</f>
      </c>
      <c r="P818" s="0" t="inlineStr">
        <is>
          <t xml:space="preserve"/>
        </is>
      </c>
      <c r="Q818" s="0">
        <f>IF(P818="","",IF(ROUND(P818,2)=5,"win","loss"))</f>
      </c>
      <c r="R818" s="0" t="inlineStr">
        <is>
          <t xml:space="preserve"/>
        </is>
      </c>
      <c r="S818" s="0" t="inlineStr">
        <is>
          <t xml:space="preserve"/>
        </is>
      </c>
      <c r="T818" s="0" t="inlineStr">
        <is>
          <t xml:space="preserve"/>
        </is>
      </c>
      <c r="U818" s="0" t="inlineStr">
        <is>
          <t xml:space="preserve"/>
        </is>
      </c>
      <c r="V818" s="0" t="inlineStr">
        <is>
          <t xml:space="preserve"/>
        </is>
      </c>
      <c r="W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>
        <f>IF(C819="","",IFERROR(LOOKUP(2,1/(($C$2:$C$1001=C819)*($Q$2:$Q$1001="win")),$O$2:$O$1001),""))</f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>
        <f>IF(N819="","",IF(OR(ISNUMBER(SEARCH("狼",N819)),ISNUMBER(SEARCH("石像鬼",N819)),ISNUMBER(SEARCH("恶灵骑士",N819)),ISNUMBER(SEARCH("黑蝙蝠",N819)),ISNUMBER(SEARCH("血月使徒",N819))),"werewolves","villagers"))</f>
      </c>
      <c r="P819" s="0" t="inlineStr">
        <is>
          <t xml:space="preserve"/>
        </is>
      </c>
      <c r="Q819" s="0">
        <f>IF(P819="","",IF(ROUND(P819,2)=5,"win","loss"))</f>
      </c>
      <c r="R819" s="0" t="inlineStr">
        <is>
          <t xml:space="preserve"/>
        </is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>
        <f>IF(C820="","",IFERROR(LOOKUP(2,1/(($C$2:$C$1001=C820)*($Q$2:$Q$1001="win")),$O$2:$O$1001),""))</f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>
        <f>IF(N820="","",IF(OR(ISNUMBER(SEARCH("狼",N820)),ISNUMBER(SEARCH("石像鬼",N820)),ISNUMBER(SEARCH("恶灵骑士",N820)),ISNUMBER(SEARCH("黑蝙蝠",N820)),ISNUMBER(SEARCH("血月使徒",N820))),"werewolves","villagers"))</f>
      </c>
      <c r="P820" s="0" t="inlineStr">
        <is>
          <t xml:space="preserve"/>
        </is>
      </c>
      <c r="Q820" s="0">
        <f>IF(P820="","",IF(ROUND(P820,2)=5,"win","loss"))</f>
      </c>
      <c r="R820" s="0" t="inlineStr">
        <is>
          <t xml:space="preserve"/>
        </is>
      </c>
      <c r="S820" s="0" t="inlineStr">
        <is>
          <t xml:space="preserve"/>
        </is>
      </c>
      <c r="T820" s="0" t="inlineStr">
        <is>
          <t xml:space="preserve"/>
        </is>
      </c>
      <c r="U820" s="0" t="inlineStr">
        <is>
          <t xml:space="preserve"/>
        </is>
      </c>
      <c r="V820" s="0" t="inlineStr">
        <is>
          <t xml:space="preserve"/>
        </is>
      </c>
      <c r="W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>
        <f>IF(C821="","",IFERROR(LOOKUP(2,1/(($C$2:$C$1001=C821)*($Q$2:$Q$1001="win")),$O$2:$O$1001),""))</f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>
        <f>IF(N821="","",IF(OR(ISNUMBER(SEARCH("狼",N821)),ISNUMBER(SEARCH("石像鬼",N821)),ISNUMBER(SEARCH("恶灵骑士",N821)),ISNUMBER(SEARCH("黑蝙蝠",N821)),ISNUMBER(SEARCH("血月使徒",N821))),"werewolves","villagers"))</f>
      </c>
      <c r="P821" s="0" t="inlineStr">
        <is>
          <t xml:space="preserve"/>
        </is>
      </c>
      <c r="Q821" s="0">
        <f>IF(P821="","",IF(ROUND(P821,2)=5,"win","loss"))</f>
      </c>
      <c r="R821" s="0" t="inlineStr">
        <is>
          <t xml:space="preserve"/>
        </is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>
        <f>IF(C822="","",IFERROR(LOOKUP(2,1/(($C$2:$C$1001=C822)*($Q$2:$Q$1001="win")),$O$2:$O$1001),""))</f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>
        <f>IF(N822="","",IF(OR(ISNUMBER(SEARCH("狼",N822)),ISNUMBER(SEARCH("石像鬼",N822)),ISNUMBER(SEARCH("恶灵骑士",N822)),ISNUMBER(SEARCH("黑蝙蝠",N822)),ISNUMBER(SEARCH("血月使徒",N822))),"werewolves","villagers"))</f>
      </c>
      <c r="P822" s="0" t="inlineStr">
        <is>
          <t xml:space="preserve"/>
        </is>
      </c>
      <c r="Q822" s="0">
        <f>IF(P822="","",IF(ROUND(P822,2)=5,"win","loss"))</f>
      </c>
      <c r="R822" s="0" t="inlineStr">
        <is>
          <t xml:space="preserve"/>
        </is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>
        <f>IF(C823="","",IFERROR(LOOKUP(2,1/(($C$2:$C$1001=C823)*($Q$2:$Q$1001="win")),$O$2:$O$1001),""))</f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>
        <f>IF(N823="","",IF(OR(ISNUMBER(SEARCH("狼",N823)),ISNUMBER(SEARCH("石像鬼",N823)),ISNUMBER(SEARCH("恶灵骑士",N823)),ISNUMBER(SEARCH("黑蝙蝠",N823)),ISNUMBER(SEARCH("血月使徒",N823))),"werewolves","villagers"))</f>
      </c>
      <c r="P823" s="0" t="inlineStr">
        <is>
          <t xml:space="preserve"/>
        </is>
      </c>
      <c r="Q823" s="0">
        <f>IF(P823="","",IF(ROUND(P823,2)=5,"win","loss"))</f>
      </c>
      <c r="R823" s="0" t="inlineStr">
        <is>
          <t xml:space="preserve"/>
        </is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>
        <f>IF(C824="","",IFERROR(LOOKUP(2,1/(($C$2:$C$1001=C824)*($Q$2:$Q$1001="win")),$O$2:$O$1001),""))</f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>
        <f>IF(N824="","",IF(OR(ISNUMBER(SEARCH("狼",N824)),ISNUMBER(SEARCH("石像鬼",N824)),ISNUMBER(SEARCH("恶灵骑士",N824)),ISNUMBER(SEARCH("黑蝙蝠",N824)),ISNUMBER(SEARCH("血月使徒",N824))),"werewolves","villagers"))</f>
      </c>
      <c r="P824" s="0" t="inlineStr">
        <is>
          <t xml:space="preserve"/>
        </is>
      </c>
      <c r="Q824" s="0">
        <f>IF(P824="","",IF(ROUND(P824,2)=5,"win","loss"))</f>
      </c>
      <c r="R824" s="0" t="inlineStr">
        <is>
          <t xml:space="preserve"/>
        </is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>
        <f>IF(C825="","",IFERROR(LOOKUP(2,1/(($C$2:$C$1001=C825)*($Q$2:$Q$1001="win")),$O$2:$O$1001),""))</f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>
        <f>IF(N825="","",IF(OR(ISNUMBER(SEARCH("狼",N825)),ISNUMBER(SEARCH("石像鬼",N825)),ISNUMBER(SEARCH("恶灵骑士",N825)),ISNUMBER(SEARCH("黑蝙蝠",N825)),ISNUMBER(SEARCH("血月使徒",N825))),"werewolves","villagers"))</f>
      </c>
      <c r="P825" s="0" t="inlineStr">
        <is>
          <t xml:space="preserve"/>
        </is>
      </c>
      <c r="Q825" s="0">
        <f>IF(P825="","",IF(ROUND(P825,2)=5,"win","loss"))</f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>
        <f>IF(C826="","",IFERROR(LOOKUP(2,1/(($C$2:$C$1001=C826)*($Q$2:$Q$1001="win")),$O$2:$O$1001),""))</f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>
        <f>IF(N826="","",IF(OR(ISNUMBER(SEARCH("狼",N826)),ISNUMBER(SEARCH("石像鬼",N826)),ISNUMBER(SEARCH("恶灵骑士",N826)),ISNUMBER(SEARCH("黑蝙蝠",N826)),ISNUMBER(SEARCH("血月使徒",N826))),"werewolves","villagers"))</f>
      </c>
      <c r="P826" s="0" t="inlineStr">
        <is>
          <t xml:space="preserve"/>
        </is>
      </c>
      <c r="Q826" s="0">
        <f>IF(P826="","",IF(ROUND(P826,2)=5,"win","loss"))</f>
      </c>
      <c r="R826" s="0" t="inlineStr">
        <is>
          <t xml:space="preserve"/>
        </is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>
        <f>IF(C827="","",IFERROR(LOOKUP(2,1/(($C$2:$C$1001=C827)*($Q$2:$Q$1001="win")),$O$2:$O$1001),""))</f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>
        <f>IF(N827="","",IF(OR(ISNUMBER(SEARCH("狼",N827)),ISNUMBER(SEARCH("石像鬼",N827)),ISNUMBER(SEARCH("恶灵骑士",N827)),ISNUMBER(SEARCH("黑蝙蝠",N827)),ISNUMBER(SEARCH("血月使徒",N827))),"werewolves","villagers"))</f>
      </c>
      <c r="P827" s="0" t="inlineStr">
        <is>
          <t xml:space="preserve"/>
        </is>
      </c>
      <c r="Q827" s="0">
        <f>IF(P827="","",IF(ROUND(P827,2)=5,"win","loss"))</f>
      </c>
      <c r="R827" s="0" t="inlineStr">
        <is>
          <t xml:space="preserve"/>
        </is>
      </c>
      <c r="S827" s="0" t="inlineStr">
        <is>
          <t xml:space="preserve"/>
        </is>
      </c>
      <c r="T827" s="0" t="inlineStr">
        <is>
          <t xml:space="preserve"/>
        </is>
      </c>
      <c r="U827" s="0" t="inlineStr">
        <is>
          <t xml:space="preserve"/>
        </is>
      </c>
      <c r="V827" s="0" t="inlineStr">
        <is>
          <t xml:space="preserve"/>
        </is>
      </c>
      <c r="W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>
        <f>IF(C828="","",IFERROR(LOOKUP(2,1/(($C$2:$C$1001=C828)*($Q$2:$Q$1001="win")),$O$2:$O$1001),""))</f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>
        <f>IF(N828="","",IF(OR(ISNUMBER(SEARCH("狼",N828)),ISNUMBER(SEARCH("石像鬼",N828)),ISNUMBER(SEARCH("恶灵骑士",N828)),ISNUMBER(SEARCH("黑蝙蝠",N828)),ISNUMBER(SEARCH("血月使徒",N828))),"werewolves","villagers"))</f>
      </c>
      <c r="P828" s="0" t="inlineStr">
        <is>
          <t xml:space="preserve"/>
        </is>
      </c>
      <c r="Q828" s="0">
        <f>IF(P828="","",IF(ROUND(P828,2)=5,"win","loss"))</f>
      </c>
      <c r="R828" s="0" t="inlineStr">
        <is>
          <t xml:space="preserve"/>
        </is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>
        <f>IF(C829="","",IFERROR(LOOKUP(2,1/(($C$2:$C$1001=C829)*($Q$2:$Q$1001="win")),$O$2:$O$1001),""))</f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>
        <f>IF(N829="","",IF(OR(ISNUMBER(SEARCH("狼",N829)),ISNUMBER(SEARCH("石像鬼",N829)),ISNUMBER(SEARCH("恶灵骑士",N829)),ISNUMBER(SEARCH("黑蝙蝠",N829)),ISNUMBER(SEARCH("血月使徒",N829))),"werewolves","villagers"))</f>
      </c>
      <c r="P829" s="0" t="inlineStr">
        <is>
          <t xml:space="preserve"/>
        </is>
      </c>
      <c r="Q829" s="0">
        <f>IF(P829="","",IF(ROUND(P829,2)=5,"win","loss"))</f>
      </c>
      <c r="R829" s="0" t="inlineStr">
        <is>
          <t xml:space="preserve"/>
        </is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>
        <f>IF(C830="","",IFERROR(LOOKUP(2,1/(($C$2:$C$1001=C830)*($Q$2:$Q$1001="win")),$O$2:$O$1001),""))</f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>
        <f>IF(N830="","",IF(OR(ISNUMBER(SEARCH("狼",N830)),ISNUMBER(SEARCH("石像鬼",N830)),ISNUMBER(SEARCH("恶灵骑士",N830)),ISNUMBER(SEARCH("黑蝙蝠",N830)),ISNUMBER(SEARCH("血月使徒",N830))),"werewolves","villagers"))</f>
      </c>
      <c r="P830" s="0" t="inlineStr">
        <is>
          <t xml:space="preserve"/>
        </is>
      </c>
      <c r="Q830" s="0">
        <f>IF(P830="","",IF(ROUND(P830,2)=5,"win","loss"))</f>
      </c>
      <c r="R830" s="0" t="inlineStr">
        <is>
          <t xml:space="preserve"/>
        </is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>
        <f>IF(C831="","",IFERROR(LOOKUP(2,1/(($C$2:$C$1001=C831)*($Q$2:$Q$1001="win")),$O$2:$O$1001),""))</f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>
        <f>IF(N831="","",IF(OR(ISNUMBER(SEARCH("狼",N831)),ISNUMBER(SEARCH("石像鬼",N831)),ISNUMBER(SEARCH("恶灵骑士",N831)),ISNUMBER(SEARCH("黑蝙蝠",N831)),ISNUMBER(SEARCH("血月使徒",N831))),"werewolves","villagers"))</f>
      </c>
      <c r="P831" s="0" t="inlineStr">
        <is>
          <t xml:space="preserve"/>
        </is>
      </c>
      <c r="Q831" s="0">
        <f>IF(P831="","",IF(ROUND(P831,2)=5,"win","loss"))</f>
      </c>
      <c r="R831" s="0" t="inlineStr">
        <is>
          <t xml:space="preserve"/>
        </is>
      </c>
      <c r="S831" s="0" t="inlineStr">
        <is>
          <t xml:space="preserve"/>
        </is>
      </c>
      <c r="T831" s="0" t="inlineStr">
        <is>
          <t xml:space="preserve"/>
        </is>
      </c>
      <c r="U831" s="0" t="inlineStr">
        <is>
          <t xml:space="preserve"/>
        </is>
      </c>
      <c r="V831" s="0" t="inlineStr">
        <is>
          <t xml:space="preserve"/>
        </is>
      </c>
      <c r="W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>
        <f>IF(C832="","",IFERROR(LOOKUP(2,1/(($C$2:$C$1001=C832)*($Q$2:$Q$1001="win")),$O$2:$O$1001),""))</f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>
        <f>IF(N832="","",IF(OR(ISNUMBER(SEARCH("狼",N832)),ISNUMBER(SEARCH("石像鬼",N832)),ISNUMBER(SEARCH("恶灵骑士",N832)),ISNUMBER(SEARCH("黑蝙蝠",N832)),ISNUMBER(SEARCH("血月使徒",N832))),"werewolves","villagers"))</f>
      </c>
      <c r="P832" s="0" t="inlineStr">
        <is>
          <t xml:space="preserve"/>
        </is>
      </c>
      <c r="Q832" s="0">
        <f>IF(P832="","",IF(ROUND(P832,2)=5,"win","loss"))</f>
      </c>
      <c r="R832" s="0" t="inlineStr">
        <is>
          <t xml:space="preserve"/>
        </is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>
        <f>IF(C833="","",IFERROR(LOOKUP(2,1/(($C$2:$C$1001=C833)*($Q$2:$Q$1001="win")),$O$2:$O$1001),""))</f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>
        <f>IF(N833="","",IF(OR(ISNUMBER(SEARCH("狼",N833)),ISNUMBER(SEARCH("石像鬼",N833)),ISNUMBER(SEARCH("恶灵骑士",N833)),ISNUMBER(SEARCH("黑蝙蝠",N833)),ISNUMBER(SEARCH("血月使徒",N833))),"werewolves","villagers"))</f>
      </c>
      <c r="P833" s="0" t="inlineStr">
        <is>
          <t xml:space="preserve"/>
        </is>
      </c>
      <c r="Q833" s="0">
        <f>IF(P833="","",IF(ROUND(P833,2)=5,"win","loss"))</f>
      </c>
      <c r="R833" s="0" t="inlineStr">
        <is>
          <t xml:space="preserve"/>
        </is>
      </c>
      <c r="S833" s="0" t="inlineStr">
        <is>
          <t xml:space="preserve"/>
        </is>
      </c>
      <c r="T833" s="0" t="inlineStr">
        <is>
          <t xml:space="preserve"/>
        </is>
      </c>
      <c r="U833" s="0" t="inlineStr">
        <is>
          <t xml:space="preserve"/>
        </is>
      </c>
      <c r="V833" s="0" t="inlineStr">
        <is>
          <t xml:space="preserve"/>
        </is>
      </c>
      <c r="W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>
        <f>IF(C834="","",IFERROR(LOOKUP(2,1/(($C$2:$C$1001=C834)*($Q$2:$Q$1001="win")),$O$2:$O$1001),""))</f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>
        <f>IF(N834="","",IF(OR(ISNUMBER(SEARCH("狼",N834)),ISNUMBER(SEARCH("石像鬼",N834)),ISNUMBER(SEARCH("恶灵骑士",N834)),ISNUMBER(SEARCH("黑蝙蝠",N834)),ISNUMBER(SEARCH("血月使徒",N834))),"werewolves","villagers"))</f>
      </c>
      <c r="P834" s="0" t="inlineStr">
        <is>
          <t xml:space="preserve"/>
        </is>
      </c>
      <c r="Q834" s="0">
        <f>IF(P834="","",IF(ROUND(P834,2)=5,"win","loss"))</f>
      </c>
      <c r="R834" s="0" t="inlineStr">
        <is>
          <t xml:space="preserve"/>
        </is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>
        <f>IF(C835="","",IFERROR(LOOKUP(2,1/(($C$2:$C$1001=C835)*($Q$2:$Q$1001="win")),$O$2:$O$1001),""))</f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>
        <f>IF(N835="","",IF(OR(ISNUMBER(SEARCH("狼",N835)),ISNUMBER(SEARCH("石像鬼",N835)),ISNUMBER(SEARCH("恶灵骑士",N835)),ISNUMBER(SEARCH("黑蝙蝠",N835)),ISNUMBER(SEARCH("血月使徒",N835))),"werewolves","villagers"))</f>
      </c>
      <c r="P835" s="0" t="inlineStr">
        <is>
          <t xml:space="preserve"/>
        </is>
      </c>
      <c r="Q835" s="0">
        <f>IF(P835="","",IF(ROUND(P835,2)=5,"win","loss"))</f>
      </c>
      <c r="R835" s="0" t="inlineStr">
        <is>
          <t xml:space="preserve"/>
        </is>
      </c>
      <c r="S835" s="0" t="inlineStr">
        <is>
          <t xml:space="preserve"/>
        </is>
      </c>
      <c r="T835" s="0" t="inlineStr">
        <is>
          <t xml:space="preserve"/>
        </is>
      </c>
      <c r="U835" s="0" t="inlineStr">
        <is>
          <t xml:space="preserve"/>
        </is>
      </c>
      <c r="V835" s="0" t="inlineStr">
        <is>
          <t xml:space="preserve"/>
        </is>
      </c>
      <c r="W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>
        <f>IF(C836="","",IFERROR(LOOKUP(2,1/(($C$2:$C$1001=C836)*($Q$2:$Q$1001="win")),$O$2:$O$1001),""))</f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>
        <f>IF(N836="","",IF(OR(ISNUMBER(SEARCH("狼",N836)),ISNUMBER(SEARCH("石像鬼",N836)),ISNUMBER(SEARCH("恶灵骑士",N836)),ISNUMBER(SEARCH("黑蝙蝠",N836)),ISNUMBER(SEARCH("血月使徒",N836))),"werewolves","villagers"))</f>
      </c>
      <c r="P836" s="0" t="inlineStr">
        <is>
          <t xml:space="preserve"/>
        </is>
      </c>
      <c r="Q836" s="0">
        <f>IF(P836="","",IF(ROUND(P836,2)=5,"win","loss"))</f>
      </c>
      <c r="R836" s="0" t="inlineStr">
        <is>
          <t xml:space="preserve"/>
        </is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>
        <f>IF(C837="","",IFERROR(LOOKUP(2,1/(($C$2:$C$1001=C837)*($Q$2:$Q$1001="win")),$O$2:$O$1001),""))</f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>
        <f>IF(N837="","",IF(OR(ISNUMBER(SEARCH("狼",N837)),ISNUMBER(SEARCH("石像鬼",N837)),ISNUMBER(SEARCH("恶灵骑士",N837)),ISNUMBER(SEARCH("黑蝙蝠",N837)),ISNUMBER(SEARCH("血月使徒",N837))),"werewolves","villagers"))</f>
      </c>
      <c r="P837" s="0" t="inlineStr">
        <is>
          <t xml:space="preserve"/>
        </is>
      </c>
      <c r="Q837" s="0">
        <f>IF(P837="","",IF(ROUND(P837,2)=5,"win","loss"))</f>
      </c>
      <c r="R837" s="0" t="inlineStr">
        <is>
          <t xml:space="preserve"/>
        </is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>
        <f>IF(C838="","",IFERROR(LOOKUP(2,1/(($C$2:$C$1001=C838)*($Q$2:$Q$1001="win")),$O$2:$O$1001),""))</f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>
        <f>IF(N838="","",IF(OR(ISNUMBER(SEARCH("狼",N838)),ISNUMBER(SEARCH("石像鬼",N838)),ISNUMBER(SEARCH("恶灵骑士",N838)),ISNUMBER(SEARCH("黑蝙蝠",N838)),ISNUMBER(SEARCH("血月使徒",N838))),"werewolves","villagers"))</f>
      </c>
      <c r="P838" s="0" t="inlineStr">
        <is>
          <t xml:space="preserve"/>
        </is>
      </c>
      <c r="Q838" s="0">
        <f>IF(P838="","",IF(ROUND(P838,2)=5,"win","loss"))</f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>
        <f>IF(C839="","",IFERROR(LOOKUP(2,1/(($C$2:$C$1001=C839)*($Q$2:$Q$1001="win")),$O$2:$O$1001),""))</f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>
        <f>IF(N839="","",IF(OR(ISNUMBER(SEARCH("狼",N839)),ISNUMBER(SEARCH("石像鬼",N839)),ISNUMBER(SEARCH("恶灵骑士",N839)),ISNUMBER(SEARCH("黑蝙蝠",N839)),ISNUMBER(SEARCH("血月使徒",N839))),"werewolves","villagers"))</f>
      </c>
      <c r="P839" s="0" t="inlineStr">
        <is>
          <t xml:space="preserve"/>
        </is>
      </c>
      <c r="Q839" s="0">
        <f>IF(P839="","",IF(ROUND(P839,2)=5,"win","loss"))</f>
      </c>
      <c r="R839" s="0" t="inlineStr">
        <is>
          <t xml:space="preserve"/>
        </is>
      </c>
      <c r="S839" s="0" t="inlineStr">
        <is>
          <t xml:space="preserve"/>
        </is>
      </c>
      <c r="T839" s="0" t="inlineStr">
        <is>
          <t xml:space="preserve"/>
        </is>
      </c>
      <c r="U839" s="0" t="inlineStr">
        <is>
          <t xml:space="preserve"/>
        </is>
      </c>
      <c r="V839" s="0" t="inlineStr">
        <is>
          <t xml:space="preserve"/>
        </is>
      </c>
      <c r="W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>
        <f>IF(C840="","",IFERROR(LOOKUP(2,1/(($C$2:$C$1001=C840)*($Q$2:$Q$1001="win")),$O$2:$O$1001),""))</f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>
        <f>IF(N840="","",IF(OR(ISNUMBER(SEARCH("狼",N840)),ISNUMBER(SEARCH("石像鬼",N840)),ISNUMBER(SEARCH("恶灵骑士",N840)),ISNUMBER(SEARCH("黑蝙蝠",N840)),ISNUMBER(SEARCH("血月使徒",N840))),"werewolves","villagers"))</f>
      </c>
      <c r="P840" s="0" t="inlineStr">
        <is>
          <t xml:space="preserve"/>
        </is>
      </c>
      <c r="Q840" s="0">
        <f>IF(P840="","",IF(ROUND(P840,2)=5,"win","loss"))</f>
      </c>
      <c r="R840" s="0" t="inlineStr">
        <is>
          <t xml:space="preserve"/>
        </is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>
        <f>IF(C841="","",IFERROR(LOOKUP(2,1/(($C$2:$C$1001=C841)*($Q$2:$Q$1001="win")),$O$2:$O$1001),""))</f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>
        <f>IF(N841="","",IF(OR(ISNUMBER(SEARCH("狼",N841)),ISNUMBER(SEARCH("石像鬼",N841)),ISNUMBER(SEARCH("恶灵骑士",N841)),ISNUMBER(SEARCH("黑蝙蝠",N841)),ISNUMBER(SEARCH("血月使徒",N841))),"werewolves","villagers"))</f>
      </c>
      <c r="P841" s="0" t="inlineStr">
        <is>
          <t xml:space="preserve"/>
        </is>
      </c>
      <c r="Q841" s="0">
        <f>IF(P841="","",IF(ROUND(P841,2)=5,"win","loss"))</f>
      </c>
      <c r="R841" s="0" t="inlineStr">
        <is>
          <t xml:space="preserve"/>
        </is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>
        <f>IF(C842="","",IFERROR(LOOKUP(2,1/(($C$2:$C$1001=C842)*($Q$2:$Q$1001="win")),$O$2:$O$1001),""))</f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>
        <f>IF(N842="","",IF(OR(ISNUMBER(SEARCH("狼",N842)),ISNUMBER(SEARCH("石像鬼",N842)),ISNUMBER(SEARCH("恶灵骑士",N842)),ISNUMBER(SEARCH("黑蝙蝠",N842)),ISNUMBER(SEARCH("血月使徒",N842))),"werewolves","villagers"))</f>
      </c>
      <c r="P842" s="0" t="inlineStr">
        <is>
          <t xml:space="preserve"/>
        </is>
      </c>
      <c r="Q842" s="0">
        <f>IF(P842="","",IF(ROUND(P842,2)=5,"win","loss"))</f>
      </c>
      <c r="R842" s="0" t="inlineStr">
        <is>
          <t xml:space="preserve"/>
        </is>
      </c>
      <c r="S842" s="0" t="inlineStr">
        <is>
          <t xml:space="preserve"/>
        </is>
      </c>
      <c r="T842" s="0" t="inlineStr">
        <is>
          <t xml:space="preserve"/>
        </is>
      </c>
      <c r="U842" s="0" t="inlineStr">
        <is>
          <t xml:space="preserve"/>
        </is>
      </c>
      <c r="V842" s="0" t="inlineStr">
        <is>
          <t xml:space="preserve"/>
        </is>
      </c>
      <c r="W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>
        <f>IF(C843="","",IFERROR(LOOKUP(2,1/(($C$2:$C$1001=C843)*($Q$2:$Q$1001="win")),$O$2:$O$1001),""))</f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>
        <f>IF(N843="","",IF(OR(ISNUMBER(SEARCH("狼",N843)),ISNUMBER(SEARCH("石像鬼",N843)),ISNUMBER(SEARCH("恶灵骑士",N843)),ISNUMBER(SEARCH("黑蝙蝠",N843)),ISNUMBER(SEARCH("血月使徒",N843))),"werewolves","villagers"))</f>
      </c>
      <c r="P843" s="0" t="inlineStr">
        <is>
          <t xml:space="preserve"/>
        </is>
      </c>
      <c r="Q843" s="0">
        <f>IF(P843="","",IF(ROUND(P843,2)=5,"win","loss"))</f>
      </c>
      <c r="R843" s="0" t="inlineStr">
        <is>
          <t xml:space="preserve"/>
        </is>
      </c>
      <c r="S843" s="0" t="inlineStr">
        <is>
          <t xml:space="preserve"/>
        </is>
      </c>
      <c r="T843" s="0" t="inlineStr">
        <is>
          <t xml:space="preserve"/>
        </is>
      </c>
      <c r="U843" s="0" t="inlineStr">
        <is>
          <t xml:space="preserve"/>
        </is>
      </c>
      <c r="V843" s="0" t="inlineStr">
        <is>
          <t xml:space="preserve"/>
        </is>
      </c>
      <c r="W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>
        <f>IF(C844="","",IFERROR(LOOKUP(2,1/(($C$2:$C$1001=C844)*($Q$2:$Q$1001="win")),$O$2:$O$1001),""))</f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>
        <f>IF(N844="","",IF(OR(ISNUMBER(SEARCH("狼",N844)),ISNUMBER(SEARCH("石像鬼",N844)),ISNUMBER(SEARCH("恶灵骑士",N844)),ISNUMBER(SEARCH("黑蝙蝠",N844)),ISNUMBER(SEARCH("血月使徒",N844))),"werewolves","villagers"))</f>
      </c>
      <c r="P844" s="0" t="inlineStr">
        <is>
          <t xml:space="preserve"/>
        </is>
      </c>
      <c r="Q844" s="0">
        <f>IF(P844="","",IF(ROUND(P844,2)=5,"win","loss"))</f>
      </c>
      <c r="R844" s="0" t="inlineStr">
        <is>
          <t xml:space="preserve"/>
        </is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>
        <f>IF(C845="","",IFERROR(LOOKUP(2,1/(($C$2:$C$1001=C845)*($Q$2:$Q$1001="win")),$O$2:$O$1001),""))</f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>
        <f>IF(N845="","",IF(OR(ISNUMBER(SEARCH("狼",N845)),ISNUMBER(SEARCH("石像鬼",N845)),ISNUMBER(SEARCH("恶灵骑士",N845)),ISNUMBER(SEARCH("黑蝙蝠",N845)),ISNUMBER(SEARCH("血月使徒",N845))),"werewolves","villagers"))</f>
      </c>
      <c r="P845" s="0" t="inlineStr">
        <is>
          <t xml:space="preserve"/>
        </is>
      </c>
      <c r="Q845" s="0">
        <f>IF(P845="","",IF(ROUND(P845,2)=5,"win","loss"))</f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>
        <f>IF(C846="","",IFERROR(LOOKUP(2,1/(($C$2:$C$1001=C846)*($Q$2:$Q$1001="win")),$O$2:$O$1001),""))</f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>
        <f>IF(N846="","",IF(OR(ISNUMBER(SEARCH("狼",N846)),ISNUMBER(SEARCH("石像鬼",N846)),ISNUMBER(SEARCH("恶灵骑士",N846)),ISNUMBER(SEARCH("黑蝙蝠",N846)),ISNUMBER(SEARCH("血月使徒",N846))),"werewolves","villagers"))</f>
      </c>
      <c r="P846" s="0" t="inlineStr">
        <is>
          <t xml:space="preserve"/>
        </is>
      </c>
      <c r="Q846" s="0">
        <f>IF(P846="","",IF(ROUND(P846,2)=5,"win","loss"))</f>
      </c>
      <c r="R846" s="0" t="inlineStr">
        <is>
          <t xml:space="preserve"/>
        </is>
      </c>
      <c r="S846" s="0" t="inlineStr">
        <is>
          <t xml:space="preserve"/>
        </is>
      </c>
      <c r="T846" s="0" t="inlineStr">
        <is>
          <t xml:space="preserve"/>
        </is>
      </c>
      <c r="U846" s="0" t="inlineStr">
        <is>
          <t xml:space="preserve"/>
        </is>
      </c>
      <c r="V846" s="0" t="inlineStr">
        <is>
          <t xml:space="preserve"/>
        </is>
      </c>
      <c r="W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>
        <f>IF(C847="","",IFERROR(LOOKUP(2,1/(($C$2:$C$1001=C847)*($Q$2:$Q$1001="win")),$O$2:$O$1001),""))</f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>
        <f>IF(N847="","",IF(OR(ISNUMBER(SEARCH("狼",N847)),ISNUMBER(SEARCH("石像鬼",N847)),ISNUMBER(SEARCH("恶灵骑士",N847)),ISNUMBER(SEARCH("黑蝙蝠",N847)),ISNUMBER(SEARCH("血月使徒",N847))),"werewolves","villagers"))</f>
      </c>
      <c r="P847" s="0" t="inlineStr">
        <is>
          <t xml:space="preserve"/>
        </is>
      </c>
      <c r="Q847" s="0">
        <f>IF(P847="","",IF(ROUND(P847,2)=5,"win","loss"))</f>
      </c>
      <c r="R847" s="0" t="inlineStr">
        <is>
          <t xml:space="preserve"/>
        </is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>
        <f>IF(C848="","",IFERROR(LOOKUP(2,1/(($C$2:$C$1001=C848)*($Q$2:$Q$1001="win")),$O$2:$O$1001),""))</f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>
        <f>IF(N848="","",IF(OR(ISNUMBER(SEARCH("狼",N848)),ISNUMBER(SEARCH("石像鬼",N848)),ISNUMBER(SEARCH("恶灵骑士",N848)),ISNUMBER(SEARCH("黑蝙蝠",N848)),ISNUMBER(SEARCH("血月使徒",N848))),"werewolves","villagers"))</f>
      </c>
      <c r="P848" s="0" t="inlineStr">
        <is>
          <t xml:space="preserve"/>
        </is>
      </c>
      <c r="Q848" s="0">
        <f>IF(P848="","",IF(ROUND(P848,2)=5,"win","loss"))</f>
      </c>
      <c r="R848" s="0" t="inlineStr">
        <is>
          <t xml:space="preserve"/>
        </is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>
        <f>IF(C849="","",IFERROR(LOOKUP(2,1/(($C$2:$C$1001=C849)*($Q$2:$Q$1001="win")),$O$2:$O$1001),""))</f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>
        <f>IF(N849="","",IF(OR(ISNUMBER(SEARCH("狼",N849)),ISNUMBER(SEARCH("石像鬼",N849)),ISNUMBER(SEARCH("恶灵骑士",N849)),ISNUMBER(SEARCH("黑蝙蝠",N849)),ISNUMBER(SEARCH("血月使徒",N849))),"werewolves","villagers"))</f>
      </c>
      <c r="P849" s="0" t="inlineStr">
        <is>
          <t xml:space="preserve"/>
        </is>
      </c>
      <c r="Q849" s="0">
        <f>IF(P849="","",IF(ROUND(P849,2)=5,"win","loss"))</f>
      </c>
      <c r="R849" s="0" t="inlineStr">
        <is>
          <t xml:space="preserve"/>
        </is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>
        <f>IF(C850="","",IFERROR(LOOKUP(2,1/(($C$2:$C$1001=C850)*($Q$2:$Q$1001="win")),$O$2:$O$1001),""))</f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>
        <f>IF(N850="","",IF(OR(ISNUMBER(SEARCH("狼",N850)),ISNUMBER(SEARCH("石像鬼",N850)),ISNUMBER(SEARCH("恶灵骑士",N850)),ISNUMBER(SEARCH("黑蝙蝠",N850)),ISNUMBER(SEARCH("血月使徒",N850))),"werewolves","villagers"))</f>
      </c>
      <c r="P850" s="0" t="inlineStr">
        <is>
          <t xml:space="preserve"/>
        </is>
      </c>
      <c r="Q850" s="0">
        <f>IF(P850="","",IF(ROUND(P850,2)=5,"win","loss"))</f>
      </c>
      <c r="R850" s="0" t="inlineStr">
        <is>
          <t xml:space="preserve"/>
        </is>
      </c>
      <c r="S850" s="0" t="inlineStr">
        <is>
          <t xml:space="preserve"/>
        </is>
      </c>
      <c r="T850" s="0" t="inlineStr">
        <is>
          <t xml:space="preserve"/>
        </is>
      </c>
      <c r="U850" s="0" t="inlineStr">
        <is>
          <t xml:space="preserve"/>
        </is>
      </c>
      <c r="V850" s="0" t="inlineStr">
        <is>
          <t xml:space="preserve"/>
        </is>
      </c>
      <c r="W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>
        <f>IF(C851="","",IFERROR(LOOKUP(2,1/(($C$2:$C$1001=C851)*($Q$2:$Q$1001="win")),$O$2:$O$1001),""))</f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>
        <f>IF(N851="","",IF(OR(ISNUMBER(SEARCH("狼",N851)),ISNUMBER(SEARCH("石像鬼",N851)),ISNUMBER(SEARCH("恶灵骑士",N851)),ISNUMBER(SEARCH("黑蝙蝠",N851)),ISNUMBER(SEARCH("血月使徒",N851))),"werewolves","villagers"))</f>
      </c>
      <c r="P851" s="0" t="inlineStr">
        <is>
          <t xml:space="preserve"/>
        </is>
      </c>
      <c r="Q851" s="0">
        <f>IF(P851="","",IF(ROUND(P851,2)=5,"win","loss"))</f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>
        <f>IF(C852="","",IFERROR(LOOKUP(2,1/(($C$2:$C$1001=C852)*($Q$2:$Q$1001="win")),$O$2:$O$1001),""))</f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>
        <f>IF(N852="","",IF(OR(ISNUMBER(SEARCH("狼",N852)),ISNUMBER(SEARCH("石像鬼",N852)),ISNUMBER(SEARCH("恶灵骑士",N852)),ISNUMBER(SEARCH("黑蝙蝠",N852)),ISNUMBER(SEARCH("血月使徒",N852))),"werewolves","villagers"))</f>
      </c>
      <c r="P852" s="0" t="inlineStr">
        <is>
          <t xml:space="preserve"/>
        </is>
      </c>
      <c r="Q852" s="0">
        <f>IF(P852="","",IF(ROUND(P852,2)=5,"win","loss"))</f>
      </c>
      <c r="R852" s="0" t="inlineStr">
        <is>
          <t xml:space="preserve"/>
        </is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>
        <f>IF(C853="","",IFERROR(LOOKUP(2,1/(($C$2:$C$1001=C853)*($Q$2:$Q$1001="win")),$O$2:$O$1001),""))</f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>
        <f>IF(N853="","",IF(OR(ISNUMBER(SEARCH("狼",N853)),ISNUMBER(SEARCH("石像鬼",N853)),ISNUMBER(SEARCH("恶灵骑士",N853)),ISNUMBER(SEARCH("黑蝙蝠",N853)),ISNUMBER(SEARCH("血月使徒",N853))),"werewolves","villagers"))</f>
      </c>
      <c r="P853" s="0" t="inlineStr">
        <is>
          <t xml:space="preserve"/>
        </is>
      </c>
      <c r="Q853" s="0">
        <f>IF(P853="","",IF(ROUND(P853,2)=5,"win","loss"))</f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>
        <f>IF(C854="","",IFERROR(LOOKUP(2,1/(($C$2:$C$1001=C854)*($Q$2:$Q$1001="win")),$O$2:$O$1001),""))</f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>
        <f>IF(N854="","",IF(OR(ISNUMBER(SEARCH("狼",N854)),ISNUMBER(SEARCH("石像鬼",N854)),ISNUMBER(SEARCH("恶灵骑士",N854)),ISNUMBER(SEARCH("黑蝙蝠",N854)),ISNUMBER(SEARCH("血月使徒",N854))),"werewolves","villagers"))</f>
      </c>
      <c r="P854" s="0" t="inlineStr">
        <is>
          <t xml:space="preserve"/>
        </is>
      </c>
      <c r="Q854" s="0">
        <f>IF(P854="","",IF(ROUND(P854,2)=5,"win","loss"))</f>
      </c>
      <c r="R854" s="0" t="inlineStr">
        <is>
          <t xml:space="preserve"/>
        </is>
      </c>
      <c r="S854" s="0" t="inlineStr">
        <is>
          <t xml:space="preserve"/>
        </is>
      </c>
      <c r="T854" s="0" t="inlineStr">
        <is>
          <t xml:space="preserve"/>
        </is>
      </c>
      <c r="U854" s="0" t="inlineStr">
        <is>
          <t xml:space="preserve"/>
        </is>
      </c>
      <c r="V854" s="0" t="inlineStr">
        <is>
          <t xml:space="preserve"/>
        </is>
      </c>
      <c r="W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>
        <f>IF(C855="","",IFERROR(LOOKUP(2,1/(($C$2:$C$1001=C855)*($Q$2:$Q$1001="win")),$O$2:$O$1001),""))</f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>
        <f>IF(N855="","",IF(OR(ISNUMBER(SEARCH("狼",N855)),ISNUMBER(SEARCH("石像鬼",N855)),ISNUMBER(SEARCH("恶灵骑士",N855)),ISNUMBER(SEARCH("黑蝙蝠",N855)),ISNUMBER(SEARCH("血月使徒",N855))),"werewolves","villagers"))</f>
      </c>
      <c r="P855" s="0" t="inlineStr">
        <is>
          <t xml:space="preserve"/>
        </is>
      </c>
      <c r="Q855" s="0">
        <f>IF(P855="","",IF(ROUND(P855,2)=5,"win","loss"))</f>
      </c>
      <c r="R855" s="0" t="inlineStr">
        <is>
          <t xml:space="preserve"/>
        </is>
      </c>
      <c r="S855" s="0" t="inlineStr">
        <is>
          <t xml:space="preserve"/>
        </is>
      </c>
      <c r="T855" s="0" t="inlineStr">
        <is>
          <t xml:space="preserve"/>
        </is>
      </c>
      <c r="U855" s="0" t="inlineStr">
        <is>
          <t xml:space="preserve"/>
        </is>
      </c>
      <c r="V855" s="0" t="inlineStr">
        <is>
          <t xml:space="preserve"/>
        </is>
      </c>
      <c r="W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>
        <f>IF(C856="","",IFERROR(LOOKUP(2,1/(($C$2:$C$1001=C856)*($Q$2:$Q$1001="win")),$O$2:$O$1001),""))</f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>
        <f>IF(N856="","",IF(OR(ISNUMBER(SEARCH("狼",N856)),ISNUMBER(SEARCH("石像鬼",N856)),ISNUMBER(SEARCH("恶灵骑士",N856)),ISNUMBER(SEARCH("黑蝙蝠",N856)),ISNUMBER(SEARCH("血月使徒",N856))),"werewolves","villagers"))</f>
      </c>
      <c r="P856" s="0" t="inlineStr">
        <is>
          <t xml:space="preserve"/>
        </is>
      </c>
      <c r="Q856" s="0">
        <f>IF(P856="","",IF(ROUND(P856,2)=5,"win","loss"))</f>
      </c>
      <c r="R856" s="0" t="inlineStr">
        <is>
          <t xml:space="preserve"/>
        </is>
      </c>
      <c r="S856" s="0" t="inlineStr">
        <is>
          <t xml:space="preserve"/>
        </is>
      </c>
      <c r="T856" s="0" t="inlineStr">
        <is>
          <t xml:space="preserve"/>
        </is>
      </c>
      <c r="U856" s="0" t="inlineStr">
        <is>
          <t xml:space="preserve"/>
        </is>
      </c>
      <c r="V856" s="0" t="inlineStr">
        <is>
          <t xml:space="preserve"/>
        </is>
      </c>
      <c r="W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>
        <f>IF(C857="","",IFERROR(LOOKUP(2,1/(($C$2:$C$1001=C857)*($Q$2:$Q$1001="win")),$O$2:$O$1001),""))</f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>
        <f>IF(N857="","",IF(OR(ISNUMBER(SEARCH("狼",N857)),ISNUMBER(SEARCH("石像鬼",N857)),ISNUMBER(SEARCH("恶灵骑士",N857)),ISNUMBER(SEARCH("黑蝙蝠",N857)),ISNUMBER(SEARCH("血月使徒",N857))),"werewolves","villagers"))</f>
      </c>
      <c r="P857" s="0" t="inlineStr">
        <is>
          <t xml:space="preserve"/>
        </is>
      </c>
      <c r="Q857" s="0">
        <f>IF(P857="","",IF(ROUND(P857,2)=5,"win","loss"))</f>
      </c>
      <c r="R857" s="0" t="inlineStr">
        <is>
          <t xml:space="preserve"/>
        </is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>
        <f>IF(C858="","",IFERROR(LOOKUP(2,1/(($C$2:$C$1001=C858)*($Q$2:$Q$1001="win")),$O$2:$O$1001),""))</f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>
        <f>IF(N858="","",IF(OR(ISNUMBER(SEARCH("狼",N858)),ISNUMBER(SEARCH("石像鬼",N858)),ISNUMBER(SEARCH("恶灵骑士",N858)),ISNUMBER(SEARCH("黑蝙蝠",N858)),ISNUMBER(SEARCH("血月使徒",N858))),"werewolves","villagers"))</f>
      </c>
      <c r="P858" s="0" t="inlineStr">
        <is>
          <t xml:space="preserve"/>
        </is>
      </c>
      <c r="Q858" s="0">
        <f>IF(P858="","",IF(ROUND(P858,2)=5,"win","loss"))</f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>
        <f>IF(C859="","",IFERROR(LOOKUP(2,1/(($C$2:$C$1001=C859)*($Q$2:$Q$1001="win")),$O$2:$O$1001),""))</f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>
        <f>IF(N859="","",IF(OR(ISNUMBER(SEARCH("狼",N859)),ISNUMBER(SEARCH("石像鬼",N859)),ISNUMBER(SEARCH("恶灵骑士",N859)),ISNUMBER(SEARCH("黑蝙蝠",N859)),ISNUMBER(SEARCH("血月使徒",N859))),"werewolves","villagers"))</f>
      </c>
      <c r="P859" s="0" t="inlineStr">
        <is>
          <t xml:space="preserve"/>
        </is>
      </c>
      <c r="Q859" s="0">
        <f>IF(P859="","",IF(ROUND(P859,2)=5,"win","loss"))</f>
      </c>
      <c r="R859" s="0" t="inlineStr">
        <is>
          <t xml:space="preserve"/>
        </is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>
        <f>IF(C860="","",IFERROR(LOOKUP(2,1/(($C$2:$C$1001=C860)*($Q$2:$Q$1001="win")),$O$2:$O$1001),""))</f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>
        <f>IF(N860="","",IF(OR(ISNUMBER(SEARCH("狼",N860)),ISNUMBER(SEARCH("石像鬼",N860)),ISNUMBER(SEARCH("恶灵骑士",N860)),ISNUMBER(SEARCH("黑蝙蝠",N860)),ISNUMBER(SEARCH("血月使徒",N860))),"werewolves","villagers"))</f>
      </c>
      <c r="P860" s="0" t="inlineStr">
        <is>
          <t xml:space="preserve"/>
        </is>
      </c>
      <c r="Q860" s="0">
        <f>IF(P860="","",IF(ROUND(P860,2)=5,"win","loss"))</f>
      </c>
      <c r="R860" s="0" t="inlineStr">
        <is>
          <t xml:space="preserve"/>
        </is>
      </c>
      <c r="S860" s="0" t="inlineStr">
        <is>
          <t xml:space="preserve"/>
        </is>
      </c>
      <c r="T860" s="0" t="inlineStr">
        <is>
          <t xml:space="preserve"/>
        </is>
      </c>
      <c r="U860" s="0" t="inlineStr">
        <is>
          <t xml:space="preserve"/>
        </is>
      </c>
      <c r="V860" s="0" t="inlineStr">
        <is>
          <t xml:space="preserve"/>
        </is>
      </c>
      <c r="W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>
        <f>IF(C861="","",IFERROR(LOOKUP(2,1/(($C$2:$C$1001=C861)*($Q$2:$Q$1001="win")),$O$2:$O$1001),""))</f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>
        <f>IF(N861="","",IF(OR(ISNUMBER(SEARCH("狼",N861)),ISNUMBER(SEARCH("石像鬼",N861)),ISNUMBER(SEARCH("恶灵骑士",N861)),ISNUMBER(SEARCH("黑蝙蝠",N861)),ISNUMBER(SEARCH("血月使徒",N861))),"werewolves","villagers"))</f>
      </c>
      <c r="P861" s="0" t="inlineStr">
        <is>
          <t xml:space="preserve"/>
        </is>
      </c>
      <c r="Q861" s="0">
        <f>IF(P861="","",IF(ROUND(P861,2)=5,"win","loss"))</f>
      </c>
      <c r="R861" s="0" t="inlineStr">
        <is>
          <t xml:space="preserve"/>
        </is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>
        <f>IF(C862="","",IFERROR(LOOKUP(2,1/(($C$2:$C$1001=C862)*($Q$2:$Q$1001="win")),$O$2:$O$1001),""))</f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>
        <f>IF(N862="","",IF(OR(ISNUMBER(SEARCH("狼",N862)),ISNUMBER(SEARCH("石像鬼",N862)),ISNUMBER(SEARCH("恶灵骑士",N862)),ISNUMBER(SEARCH("黑蝙蝠",N862)),ISNUMBER(SEARCH("血月使徒",N862))),"werewolves","villagers"))</f>
      </c>
      <c r="P862" s="0" t="inlineStr">
        <is>
          <t xml:space="preserve"/>
        </is>
      </c>
      <c r="Q862" s="0">
        <f>IF(P862="","",IF(ROUND(P862,2)=5,"win","loss"))</f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>
        <f>IF(C863="","",IFERROR(LOOKUP(2,1/(($C$2:$C$1001=C863)*($Q$2:$Q$1001="win")),$O$2:$O$1001),""))</f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>
        <f>IF(N863="","",IF(OR(ISNUMBER(SEARCH("狼",N863)),ISNUMBER(SEARCH("石像鬼",N863)),ISNUMBER(SEARCH("恶灵骑士",N863)),ISNUMBER(SEARCH("黑蝙蝠",N863)),ISNUMBER(SEARCH("血月使徒",N863))),"werewolves","villagers"))</f>
      </c>
      <c r="P863" s="0" t="inlineStr">
        <is>
          <t xml:space="preserve"/>
        </is>
      </c>
      <c r="Q863" s="0">
        <f>IF(P863="","",IF(ROUND(P863,2)=5,"win","loss"))</f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>
        <f>IF(C864="","",IFERROR(LOOKUP(2,1/(($C$2:$C$1001=C864)*($Q$2:$Q$1001="win")),$O$2:$O$1001),""))</f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>
        <f>IF(N864="","",IF(OR(ISNUMBER(SEARCH("狼",N864)),ISNUMBER(SEARCH("石像鬼",N864)),ISNUMBER(SEARCH("恶灵骑士",N864)),ISNUMBER(SEARCH("黑蝙蝠",N864)),ISNUMBER(SEARCH("血月使徒",N864))),"werewolves","villagers"))</f>
      </c>
      <c r="P864" s="0" t="inlineStr">
        <is>
          <t xml:space="preserve"/>
        </is>
      </c>
      <c r="Q864" s="0">
        <f>IF(P864="","",IF(ROUND(P864,2)=5,"win","loss"))</f>
      </c>
      <c r="R864" s="0" t="inlineStr">
        <is>
          <t xml:space="preserve"/>
        </is>
      </c>
      <c r="S864" s="0" t="inlineStr">
        <is>
          <t xml:space="preserve"/>
        </is>
      </c>
      <c r="T864" s="0" t="inlineStr">
        <is>
          <t xml:space="preserve"/>
        </is>
      </c>
      <c r="U864" s="0" t="inlineStr">
        <is>
          <t xml:space="preserve"/>
        </is>
      </c>
      <c r="V864" s="0" t="inlineStr">
        <is>
          <t xml:space="preserve"/>
        </is>
      </c>
      <c r="W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>
        <f>IF(C865="","",IFERROR(LOOKUP(2,1/(($C$2:$C$1001=C865)*($Q$2:$Q$1001="win")),$O$2:$O$1001),""))</f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>
        <f>IF(N865="","",IF(OR(ISNUMBER(SEARCH("狼",N865)),ISNUMBER(SEARCH("石像鬼",N865)),ISNUMBER(SEARCH("恶灵骑士",N865)),ISNUMBER(SEARCH("黑蝙蝠",N865)),ISNUMBER(SEARCH("血月使徒",N865))),"werewolves","villagers"))</f>
      </c>
      <c r="P865" s="0" t="inlineStr">
        <is>
          <t xml:space="preserve"/>
        </is>
      </c>
      <c r="Q865" s="0">
        <f>IF(P865="","",IF(ROUND(P865,2)=5,"win","loss"))</f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>
        <f>IF(C866="","",IFERROR(LOOKUP(2,1/(($C$2:$C$1001=C866)*($Q$2:$Q$1001="win")),$O$2:$O$1001),""))</f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>
        <f>IF(N866="","",IF(OR(ISNUMBER(SEARCH("狼",N866)),ISNUMBER(SEARCH("石像鬼",N866)),ISNUMBER(SEARCH("恶灵骑士",N866)),ISNUMBER(SEARCH("黑蝙蝠",N866)),ISNUMBER(SEARCH("血月使徒",N866))),"werewolves","villagers"))</f>
      </c>
      <c r="P866" s="0" t="inlineStr">
        <is>
          <t xml:space="preserve"/>
        </is>
      </c>
      <c r="Q866" s="0">
        <f>IF(P866="","",IF(ROUND(P866,2)=5,"win","loss"))</f>
      </c>
      <c r="R866" s="0" t="inlineStr">
        <is>
          <t xml:space="preserve"/>
        </is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>
        <f>IF(C867="","",IFERROR(LOOKUP(2,1/(($C$2:$C$1001=C867)*($Q$2:$Q$1001="win")),$O$2:$O$1001),""))</f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>
        <f>IF(N867="","",IF(OR(ISNUMBER(SEARCH("狼",N867)),ISNUMBER(SEARCH("石像鬼",N867)),ISNUMBER(SEARCH("恶灵骑士",N867)),ISNUMBER(SEARCH("黑蝙蝠",N867)),ISNUMBER(SEARCH("血月使徒",N867))),"werewolves","villagers"))</f>
      </c>
      <c r="P867" s="0" t="inlineStr">
        <is>
          <t xml:space="preserve"/>
        </is>
      </c>
      <c r="Q867" s="0">
        <f>IF(P867="","",IF(ROUND(P867,2)=5,"win","loss"))</f>
      </c>
      <c r="R867" s="0" t="inlineStr">
        <is>
          <t xml:space="preserve"/>
        </is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>
        <f>IF(C868="","",IFERROR(LOOKUP(2,1/(($C$2:$C$1001=C868)*($Q$2:$Q$1001="win")),$O$2:$O$1001),""))</f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>
        <f>IF(N868="","",IF(OR(ISNUMBER(SEARCH("狼",N868)),ISNUMBER(SEARCH("石像鬼",N868)),ISNUMBER(SEARCH("恶灵骑士",N868)),ISNUMBER(SEARCH("黑蝙蝠",N868)),ISNUMBER(SEARCH("血月使徒",N868))),"werewolves","villagers"))</f>
      </c>
      <c r="P868" s="0" t="inlineStr">
        <is>
          <t xml:space="preserve"/>
        </is>
      </c>
      <c r="Q868" s="0">
        <f>IF(P868="","",IF(ROUND(P868,2)=5,"win","loss"))</f>
      </c>
      <c r="R868" s="0" t="inlineStr">
        <is>
          <t xml:space="preserve"/>
        </is>
      </c>
      <c r="S868" s="0" t="inlineStr">
        <is>
          <t xml:space="preserve"/>
        </is>
      </c>
      <c r="T868" s="0" t="inlineStr">
        <is>
          <t xml:space="preserve"/>
        </is>
      </c>
      <c r="U868" s="0" t="inlineStr">
        <is>
          <t xml:space="preserve"/>
        </is>
      </c>
      <c r="V868" s="0" t="inlineStr">
        <is>
          <t xml:space="preserve"/>
        </is>
      </c>
      <c r="W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>
        <f>IF(C869="","",IFERROR(LOOKUP(2,1/(($C$2:$C$1001=C869)*($Q$2:$Q$1001="win")),$O$2:$O$1001),""))</f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>
        <f>IF(N869="","",IF(OR(ISNUMBER(SEARCH("狼",N869)),ISNUMBER(SEARCH("石像鬼",N869)),ISNUMBER(SEARCH("恶灵骑士",N869)),ISNUMBER(SEARCH("黑蝙蝠",N869)),ISNUMBER(SEARCH("血月使徒",N869))),"werewolves","villagers"))</f>
      </c>
      <c r="P869" s="0" t="inlineStr">
        <is>
          <t xml:space="preserve"/>
        </is>
      </c>
      <c r="Q869" s="0">
        <f>IF(P869="","",IF(ROUND(P869,2)=5,"win","loss"))</f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>
        <f>IF(C870="","",IFERROR(LOOKUP(2,1/(($C$2:$C$1001=C870)*($Q$2:$Q$1001="win")),$O$2:$O$1001),""))</f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>
        <f>IF(N870="","",IF(OR(ISNUMBER(SEARCH("狼",N870)),ISNUMBER(SEARCH("石像鬼",N870)),ISNUMBER(SEARCH("恶灵骑士",N870)),ISNUMBER(SEARCH("黑蝙蝠",N870)),ISNUMBER(SEARCH("血月使徒",N870))),"werewolves","villagers"))</f>
      </c>
      <c r="P870" s="0" t="inlineStr">
        <is>
          <t xml:space="preserve"/>
        </is>
      </c>
      <c r="Q870" s="0">
        <f>IF(P870="","",IF(ROUND(P870,2)=5,"win","loss"))</f>
      </c>
      <c r="R870" s="0" t="inlineStr">
        <is>
          <t xml:space="preserve"/>
        </is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>
        <f>IF(C871="","",IFERROR(LOOKUP(2,1/(($C$2:$C$1001=C871)*($Q$2:$Q$1001="win")),$O$2:$O$1001),""))</f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>
        <f>IF(N871="","",IF(OR(ISNUMBER(SEARCH("狼",N871)),ISNUMBER(SEARCH("石像鬼",N871)),ISNUMBER(SEARCH("恶灵骑士",N871)),ISNUMBER(SEARCH("黑蝙蝠",N871)),ISNUMBER(SEARCH("血月使徒",N871))),"werewolves","villagers"))</f>
      </c>
      <c r="P871" s="0" t="inlineStr">
        <is>
          <t xml:space="preserve"/>
        </is>
      </c>
      <c r="Q871" s="0">
        <f>IF(P871="","",IF(ROUND(P871,2)=5,"win","loss"))</f>
      </c>
      <c r="R871" s="0" t="inlineStr">
        <is>
          <t xml:space="preserve"/>
        </is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>
        <f>IF(C872="","",IFERROR(LOOKUP(2,1/(($C$2:$C$1001=C872)*($Q$2:$Q$1001="win")),$O$2:$O$1001),""))</f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>
        <f>IF(N872="","",IF(OR(ISNUMBER(SEARCH("狼",N872)),ISNUMBER(SEARCH("石像鬼",N872)),ISNUMBER(SEARCH("恶灵骑士",N872)),ISNUMBER(SEARCH("黑蝙蝠",N872)),ISNUMBER(SEARCH("血月使徒",N872))),"werewolves","villagers"))</f>
      </c>
      <c r="P872" s="0" t="inlineStr">
        <is>
          <t xml:space="preserve"/>
        </is>
      </c>
      <c r="Q872" s="0">
        <f>IF(P872="","",IF(ROUND(P872,2)=5,"win","loss"))</f>
      </c>
      <c r="R872" s="0" t="inlineStr">
        <is>
          <t xml:space="preserve"/>
        </is>
      </c>
      <c r="S872" s="0" t="inlineStr">
        <is>
          <t xml:space="preserve"/>
        </is>
      </c>
      <c r="T872" s="0" t="inlineStr">
        <is>
          <t xml:space="preserve"/>
        </is>
      </c>
      <c r="U872" s="0" t="inlineStr">
        <is>
          <t xml:space="preserve"/>
        </is>
      </c>
      <c r="V872" s="0" t="inlineStr">
        <is>
          <t xml:space="preserve"/>
        </is>
      </c>
      <c r="W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>
        <f>IF(C873="","",IFERROR(LOOKUP(2,1/(($C$2:$C$1001=C873)*($Q$2:$Q$1001="win")),$O$2:$O$1001),""))</f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>
        <f>IF(N873="","",IF(OR(ISNUMBER(SEARCH("狼",N873)),ISNUMBER(SEARCH("石像鬼",N873)),ISNUMBER(SEARCH("恶灵骑士",N873)),ISNUMBER(SEARCH("黑蝙蝠",N873)),ISNUMBER(SEARCH("血月使徒",N873))),"werewolves","villagers"))</f>
      </c>
      <c r="P873" s="0" t="inlineStr">
        <is>
          <t xml:space="preserve"/>
        </is>
      </c>
      <c r="Q873" s="0">
        <f>IF(P873="","",IF(ROUND(P873,2)=5,"win","loss"))</f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>
        <f>IF(C874="","",IFERROR(LOOKUP(2,1/(($C$2:$C$1001=C874)*($Q$2:$Q$1001="win")),$O$2:$O$1001),""))</f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>
        <f>IF(N874="","",IF(OR(ISNUMBER(SEARCH("狼",N874)),ISNUMBER(SEARCH("石像鬼",N874)),ISNUMBER(SEARCH("恶灵骑士",N874)),ISNUMBER(SEARCH("黑蝙蝠",N874)),ISNUMBER(SEARCH("血月使徒",N874))),"werewolves","villagers"))</f>
      </c>
      <c r="P874" s="0" t="inlineStr">
        <is>
          <t xml:space="preserve"/>
        </is>
      </c>
      <c r="Q874" s="0">
        <f>IF(P874="","",IF(ROUND(P874,2)=5,"win","loss"))</f>
      </c>
      <c r="R874" s="0" t="inlineStr">
        <is>
          <t xml:space="preserve"/>
        </is>
      </c>
      <c r="S874" s="0" t="inlineStr">
        <is>
          <t xml:space="preserve"/>
        </is>
      </c>
      <c r="T874" s="0" t="inlineStr">
        <is>
          <t xml:space="preserve"/>
        </is>
      </c>
      <c r="U874" s="0" t="inlineStr">
        <is>
          <t xml:space="preserve"/>
        </is>
      </c>
      <c r="V874" s="0" t="inlineStr">
        <is>
          <t xml:space="preserve"/>
        </is>
      </c>
      <c r="W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>
        <f>IF(C875="","",IFERROR(LOOKUP(2,1/(($C$2:$C$1001=C875)*($Q$2:$Q$1001="win")),$O$2:$O$1001),""))</f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>
        <f>IF(N875="","",IF(OR(ISNUMBER(SEARCH("狼",N875)),ISNUMBER(SEARCH("石像鬼",N875)),ISNUMBER(SEARCH("恶灵骑士",N875)),ISNUMBER(SEARCH("黑蝙蝠",N875)),ISNUMBER(SEARCH("血月使徒",N875))),"werewolves","villagers"))</f>
      </c>
      <c r="P875" s="0" t="inlineStr">
        <is>
          <t xml:space="preserve"/>
        </is>
      </c>
      <c r="Q875" s="0">
        <f>IF(P875="","",IF(ROUND(P875,2)=5,"win","loss"))</f>
      </c>
      <c r="R875" s="0" t="inlineStr">
        <is>
          <t xml:space="preserve"/>
        </is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>
        <f>IF(C876="","",IFERROR(LOOKUP(2,1/(($C$2:$C$1001=C876)*($Q$2:$Q$1001="win")),$O$2:$O$1001),""))</f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>
        <f>IF(N876="","",IF(OR(ISNUMBER(SEARCH("狼",N876)),ISNUMBER(SEARCH("石像鬼",N876)),ISNUMBER(SEARCH("恶灵骑士",N876)),ISNUMBER(SEARCH("黑蝙蝠",N876)),ISNUMBER(SEARCH("血月使徒",N876))),"werewolves","villagers"))</f>
      </c>
      <c r="P876" s="0" t="inlineStr">
        <is>
          <t xml:space="preserve"/>
        </is>
      </c>
      <c r="Q876" s="0">
        <f>IF(P876="","",IF(ROUND(P876,2)=5,"win","loss"))</f>
      </c>
      <c r="R876" s="0" t="inlineStr">
        <is>
          <t xml:space="preserve"/>
        </is>
      </c>
      <c r="S876" s="0" t="inlineStr">
        <is>
          <t xml:space="preserve"/>
        </is>
      </c>
      <c r="T876" s="0" t="inlineStr">
        <is>
          <t xml:space="preserve"/>
        </is>
      </c>
      <c r="U876" s="0" t="inlineStr">
        <is>
          <t xml:space="preserve"/>
        </is>
      </c>
      <c r="V876" s="0" t="inlineStr">
        <is>
          <t xml:space="preserve"/>
        </is>
      </c>
      <c r="W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>
        <f>IF(C877="","",IFERROR(LOOKUP(2,1/(($C$2:$C$1001=C877)*($Q$2:$Q$1001="win")),$O$2:$O$1001),""))</f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>
        <f>IF(N877="","",IF(OR(ISNUMBER(SEARCH("狼",N877)),ISNUMBER(SEARCH("石像鬼",N877)),ISNUMBER(SEARCH("恶灵骑士",N877)),ISNUMBER(SEARCH("黑蝙蝠",N877)),ISNUMBER(SEARCH("血月使徒",N877))),"werewolves","villagers"))</f>
      </c>
      <c r="P877" s="0" t="inlineStr">
        <is>
          <t xml:space="preserve"/>
        </is>
      </c>
      <c r="Q877" s="0">
        <f>IF(P877="","",IF(ROUND(P877,2)=5,"win","loss"))</f>
      </c>
      <c r="R877" s="0" t="inlineStr">
        <is>
          <t xml:space="preserve"/>
        </is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>
        <f>IF(C878="","",IFERROR(LOOKUP(2,1/(($C$2:$C$1001=C878)*($Q$2:$Q$1001="win")),$O$2:$O$1001),""))</f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>
        <f>IF(N878="","",IF(OR(ISNUMBER(SEARCH("狼",N878)),ISNUMBER(SEARCH("石像鬼",N878)),ISNUMBER(SEARCH("恶灵骑士",N878)),ISNUMBER(SEARCH("黑蝙蝠",N878)),ISNUMBER(SEARCH("血月使徒",N878))),"werewolves","villagers"))</f>
      </c>
      <c r="P878" s="0" t="inlineStr">
        <is>
          <t xml:space="preserve"/>
        </is>
      </c>
      <c r="Q878" s="0">
        <f>IF(P878="","",IF(ROUND(P878,2)=5,"win","loss"))</f>
      </c>
      <c r="R878" s="0" t="inlineStr">
        <is>
          <t xml:space="preserve"/>
        </is>
      </c>
      <c r="S878" s="0" t="inlineStr">
        <is>
          <t xml:space="preserve"/>
        </is>
      </c>
      <c r="T878" s="0" t="inlineStr">
        <is>
          <t xml:space="preserve"/>
        </is>
      </c>
      <c r="U878" s="0" t="inlineStr">
        <is>
          <t xml:space="preserve"/>
        </is>
      </c>
      <c r="V878" s="0" t="inlineStr">
        <is>
          <t xml:space="preserve"/>
        </is>
      </c>
      <c r="W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>
        <f>IF(C879="","",IFERROR(LOOKUP(2,1/(($C$2:$C$1001=C879)*($Q$2:$Q$1001="win")),$O$2:$O$1001),""))</f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>
        <f>IF(N879="","",IF(OR(ISNUMBER(SEARCH("狼",N879)),ISNUMBER(SEARCH("石像鬼",N879)),ISNUMBER(SEARCH("恶灵骑士",N879)),ISNUMBER(SEARCH("黑蝙蝠",N879)),ISNUMBER(SEARCH("血月使徒",N879))),"werewolves","villagers"))</f>
      </c>
      <c r="P879" s="0" t="inlineStr">
        <is>
          <t xml:space="preserve"/>
        </is>
      </c>
      <c r="Q879" s="0">
        <f>IF(P879="","",IF(ROUND(P879,2)=5,"win","loss"))</f>
      </c>
      <c r="R879" s="0" t="inlineStr">
        <is>
          <t xml:space="preserve"/>
        </is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>
        <f>IF(C880="","",IFERROR(LOOKUP(2,1/(($C$2:$C$1001=C880)*($Q$2:$Q$1001="win")),$O$2:$O$1001),""))</f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>
        <f>IF(N880="","",IF(OR(ISNUMBER(SEARCH("狼",N880)),ISNUMBER(SEARCH("石像鬼",N880)),ISNUMBER(SEARCH("恶灵骑士",N880)),ISNUMBER(SEARCH("黑蝙蝠",N880)),ISNUMBER(SEARCH("血月使徒",N880))),"werewolves","villagers"))</f>
      </c>
      <c r="P880" s="0" t="inlineStr">
        <is>
          <t xml:space="preserve"/>
        </is>
      </c>
      <c r="Q880" s="0">
        <f>IF(P880="","",IF(ROUND(P880,2)=5,"win","loss"))</f>
      </c>
      <c r="R880" s="0" t="inlineStr">
        <is>
          <t xml:space="preserve"/>
        </is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>
        <f>IF(C881="","",IFERROR(LOOKUP(2,1/(($C$2:$C$1001=C881)*($Q$2:$Q$1001="win")),$O$2:$O$1001),""))</f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>
        <f>IF(N881="","",IF(OR(ISNUMBER(SEARCH("狼",N881)),ISNUMBER(SEARCH("石像鬼",N881)),ISNUMBER(SEARCH("恶灵骑士",N881)),ISNUMBER(SEARCH("黑蝙蝠",N881)),ISNUMBER(SEARCH("血月使徒",N881))),"werewolves","villagers"))</f>
      </c>
      <c r="P881" s="0" t="inlineStr">
        <is>
          <t xml:space="preserve"/>
        </is>
      </c>
      <c r="Q881" s="0">
        <f>IF(P881="","",IF(ROUND(P881,2)=5,"win","loss"))</f>
      </c>
      <c r="R881" s="0" t="inlineStr">
        <is>
          <t xml:space="preserve"/>
        </is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>
        <f>IF(C882="","",IFERROR(LOOKUP(2,1/(($C$2:$C$1001=C882)*($Q$2:$Q$1001="win")),$O$2:$O$1001),""))</f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>
        <f>IF(N882="","",IF(OR(ISNUMBER(SEARCH("狼",N882)),ISNUMBER(SEARCH("石像鬼",N882)),ISNUMBER(SEARCH("恶灵骑士",N882)),ISNUMBER(SEARCH("黑蝙蝠",N882)),ISNUMBER(SEARCH("血月使徒",N882))),"werewolves","villagers"))</f>
      </c>
      <c r="P882" s="0" t="inlineStr">
        <is>
          <t xml:space="preserve"/>
        </is>
      </c>
      <c r="Q882" s="0">
        <f>IF(P882="","",IF(ROUND(P882,2)=5,"win","loss"))</f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>
        <f>IF(C883="","",IFERROR(LOOKUP(2,1/(($C$2:$C$1001=C883)*($Q$2:$Q$1001="win")),$O$2:$O$1001),""))</f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>
        <f>IF(N883="","",IF(OR(ISNUMBER(SEARCH("狼",N883)),ISNUMBER(SEARCH("石像鬼",N883)),ISNUMBER(SEARCH("恶灵骑士",N883)),ISNUMBER(SEARCH("黑蝙蝠",N883)),ISNUMBER(SEARCH("血月使徒",N883))),"werewolves","villagers"))</f>
      </c>
      <c r="P883" s="0" t="inlineStr">
        <is>
          <t xml:space="preserve"/>
        </is>
      </c>
      <c r="Q883" s="0">
        <f>IF(P883="","",IF(ROUND(P883,2)=5,"win","loss"))</f>
      </c>
      <c r="R883" s="0" t="inlineStr">
        <is>
          <t xml:space="preserve"/>
        </is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>
        <f>IF(C884="","",IFERROR(LOOKUP(2,1/(($C$2:$C$1001=C884)*($Q$2:$Q$1001="win")),$O$2:$O$1001),""))</f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>
        <f>IF(N884="","",IF(OR(ISNUMBER(SEARCH("狼",N884)),ISNUMBER(SEARCH("石像鬼",N884)),ISNUMBER(SEARCH("恶灵骑士",N884)),ISNUMBER(SEARCH("黑蝙蝠",N884)),ISNUMBER(SEARCH("血月使徒",N884))),"werewolves","villagers"))</f>
      </c>
      <c r="P884" s="0" t="inlineStr">
        <is>
          <t xml:space="preserve"/>
        </is>
      </c>
      <c r="Q884" s="0">
        <f>IF(P884="","",IF(ROUND(P884,2)=5,"win","loss"))</f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>
        <f>IF(C885="","",IFERROR(LOOKUP(2,1/(($C$2:$C$1001=C885)*($Q$2:$Q$1001="win")),$O$2:$O$1001),""))</f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>
        <f>IF(N885="","",IF(OR(ISNUMBER(SEARCH("狼",N885)),ISNUMBER(SEARCH("石像鬼",N885)),ISNUMBER(SEARCH("恶灵骑士",N885)),ISNUMBER(SEARCH("黑蝙蝠",N885)),ISNUMBER(SEARCH("血月使徒",N885))),"werewolves","villagers"))</f>
      </c>
      <c r="P885" s="0" t="inlineStr">
        <is>
          <t xml:space="preserve"/>
        </is>
      </c>
      <c r="Q885" s="0">
        <f>IF(P885="","",IF(ROUND(P885,2)=5,"win","loss"))</f>
      </c>
      <c r="R885" s="0" t="inlineStr">
        <is>
          <t xml:space="preserve"/>
        </is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>
        <f>IF(C886="","",IFERROR(LOOKUP(2,1/(($C$2:$C$1001=C886)*($Q$2:$Q$1001="win")),$O$2:$O$1001),""))</f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>
        <f>IF(N886="","",IF(OR(ISNUMBER(SEARCH("狼",N886)),ISNUMBER(SEARCH("石像鬼",N886)),ISNUMBER(SEARCH("恶灵骑士",N886)),ISNUMBER(SEARCH("黑蝙蝠",N886)),ISNUMBER(SEARCH("血月使徒",N886))),"werewolves","villagers"))</f>
      </c>
      <c r="P886" s="0" t="inlineStr">
        <is>
          <t xml:space="preserve"/>
        </is>
      </c>
      <c r="Q886" s="0">
        <f>IF(P886="","",IF(ROUND(P886,2)=5,"win","loss"))</f>
      </c>
      <c r="R886" s="0" t="inlineStr">
        <is>
          <t xml:space="preserve"/>
        </is>
      </c>
      <c r="S886" s="0" t="inlineStr">
        <is>
          <t xml:space="preserve"/>
        </is>
      </c>
      <c r="T886" s="0" t="inlineStr">
        <is>
          <t xml:space="preserve"/>
        </is>
      </c>
      <c r="U886" s="0" t="inlineStr">
        <is>
          <t xml:space="preserve"/>
        </is>
      </c>
      <c r="V886" s="0" t="inlineStr">
        <is>
          <t xml:space="preserve"/>
        </is>
      </c>
      <c r="W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>
        <f>IF(C887="","",IFERROR(LOOKUP(2,1/(($C$2:$C$1001=C887)*($Q$2:$Q$1001="win")),$O$2:$O$1001),""))</f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>
        <f>IF(N887="","",IF(OR(ISNUMBER(SEARCH("狼",N887)),ISNUMBER(SEARCH("石像鬼",N887)),ISNUMBER(SEARCH("恶灵骑士",N887)),ISNUMBER(SEARCH("黑蝙蝠",N887)),ISNUMBER(SEARCH("血月使徒",N887))),"werewolves","villagers"))</f>
      </c>
      <c r="P887" s="0" t="inlineStr">
        <is>
          <t xml:space="preserve"/>
        </is>
      </c>
      <c r="Q887" s="0">
        <f>IF(P887="","",IF(ROUND(P887,2)=5,"win","loss"))</f>
      </c>
      <c r="R887" s="0" t="inlineStr">
        <is>
          <t xml:space="preserve"/>
        </is>
      </c>
      <c r="S887" s="0" t="inlineStr">
        <is>
          <t xml:space="preserve"/>
        </is>
      </c>
      <c r="T887" s="0" t="inlineStr">
        <is>
          <t xml:space="preserve"/>
        </is>
      </c>
      <c r="U887" s="0" t="inlineStr">
        <is>
          <t xml:space="preserve"/>
        </is>
      </c>
      <c r="V887" s="0" t="inlineStr">
        <is>
          <t xml:space="preserve"/>
        </is>
      </c>
      <c r="W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>
        <f>IF(C888="","",IFERROR(LOOKUP(2,1/(($C$2:$C$1001=C888)*($Q$2:$Q$1001="win")),$O$2:$O$1001),""))</f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>
        <f>IF(N888="","",IF(OR(ISNUMBER(SEARCH("狼",N888)),ISNUMBER(SEARCH("石像鬼",N888)),ISNUMBER(SEARCH("恶灵骑士",N888)),ISNUMBER(SEARCH("黑蝙蝠",N888)),ISNUMBER(SEARCH("血月使徒",N888))),"werewolves","villagers"))</f>
      </c>
      <c r="P888" s="0" t="inlineStr">
        <is>
          <t xml:space="preserve"/>
        </is>
      </c>
      <c r="Q888" s="0">
        <f>IF(P888="","",IF(ROUND(P888,2)=5,"win","loss"))</f>
      </c>
      <c r="R888" s="0" t="inlineStr">
        <is>
          <t xml:space="preserve"/>
        </is>
      </c>
      <c r="S888" s="0" t="inlineStr">
        <is>
          <t xml:space="preserve"/>
        </is>
      </c>
      <c r="T888" s="0" t="inlineStr">
        <is>
          <t xml:space="preserve"/>
        </is>
      </c>
      <c r="U888" s="0" t="inlineStr">
        <is>
          <t xml:space="preserve"/>
        </is>
      </c>
      <c r="V888" s="0" t="inlineStr">
        <is>
          <t xml:space="preserve"/>
        </is>
      </c>
      <c r="W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>
        <f>IF(C889="","",IFERROR(LOOKUP(2,1/(($C$2:$C$1001=C889)*($Q$2:$Q$1001="win")),$O$2:$O$1001),""))</f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>
        <f>IF(N889="","",IF(OR(ISNUMBER(SEARCH("狼",N889)),ISNUMBER(SEARCH("石像鬼",N889)),ISNUMBER(SEARCH("恶灵骑士",N889)),ISNUMBER(SEARCH("黑蝙蝠",N889)),ISNUMBER(SEARCH("血月使徒",N889))),"werewolves","villagers"))</f>
      </c>
      <c r="P889" s="0" t="inlineStr">
        <is>
          <t xml:space="preserve"/>
        </is>
      </c>
      <c r="Q889" s="0">
        <f>IF(P889="","",IF(ROUND(P889,2)=5,"win","loss"))</f>
      </c>
      <c r="R889" s="0" t="inlineStr">
        <is>
          <t xml:space="preserve"/>
        </is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>
        <f>IF(C890="","",IFERROR(LOOKUP(2,1/(($C$2:$C$1001=C890)*($Q$2:$Q$1001="win")),$O$2:$O$1001),""))</f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>
        <f>IF(N890="","",IF(OR(ISNUMBER(SEARCH("狼",N890)),ISNUMBER(SEARCH("石像鬼",N890)),ISNUMBER(SEARCH("恶灵骑士",N890)),ISNUMBER(SEARCH("黑蝙蝠",N890)),ISNUMBER(SEARCH("血月使徒",N890))),"werewolves","villagers"))</f>
      </c>
      <c r="P890" s="0" t="inlineStr">
        <is>
          <t xml:space="preserve"/>
        </is>
      </c>
      <c r="Q890" s="0">
        <f>IF(P890="","",IF(ROUND(P890,2)=5,"win","loss"))</f>
      </c>
      <c r="R890" s="0" t="inlineStr">
        <is>
          <t xml:space="preserve"/>
        </is>
      </c>
      <c r="S890" s="0" t="inlineStr">
        <is>
          <t xml:space="preserve"/>
        </is>
      </c>
      <c r="T890" s="0" t="inlineStr">
        <is>
          <t xml:space="preserve"/>
        </is>
      </c>
      <c r="U890" s="0" t="inlineStr">
        <is>
          <t xml:space="preserve"/>
        </is>
      </c>
      <c r="V890" s="0" t="inlineStr">
        <is>
          <t xml:space="preserve"/>
        </is>
      </c>
      <c r="W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>
        <f>IF(C891="","",IFERROR(LOOKUP(2,1/(($C$2:$C$1001=C891)*($Q$2:$Q$1001="win")),$O$2:$O$1001),""))</f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>
        <f>IF(N891="","",IF(OR(ISNUMBER(SEARCH("狼",N891)),ISNUMBER(SEARCH("石像鬼",N891)),ISNUMBER(SEARCH("恶灵骑士",N891)),ISNUMBER(SEARCH("黑蝙蝠",N891)),ISNUMBER(SEARCH("血月使徒",N891))),"werewolves","villagers"))</f>
      </c>
      <c r="P891" s="0" t="inlineStr">
        <is>
          <t xml:space="preserve"/>
        </is>
      </c>
      <c r="Q891" s="0">
        <f>IF(P891="","",IF(ROUND(P891,2)=5,"win","loss"))</f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>
        <f>IF(C892="","",IFERROR(LOOKUP(2,1/(($C$2:$C$1001=C892)*($Q$2:$Q$1001="win")),$O$2:$O$1001),""))</f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>
        <f>IF(N892="","",IF(OR(ISNUMBER(SEARCH("狼",N892)),ISNUMBER(SEARCH("石像鬼",N892)),ISNUMBER(SEARCH("恶灵骑士",N892)),ISNUMBER(SEARCH("黑蝙蝠",N892)),ISNUMBER(SEARCH("血月使徒",N892))),"werewolves","villagers"))</f>
      </c>
      <c r="P892" s="0" t="inlineStr">
        <is>
          <t xml:space="preserve"/>
        </is>
      </c>
      <c r="Q892" s="0">
        <f>IF(P892="","",IF(ROUND(P892,2)=5,"win","loss"))</f>
      </c>
      <c r="R892" s="0" t="inlineStr">
        <is>
          <t xml:space="preserve"/>
        </is>
      </c>
      <c r="S892" s="0" t="inlineStr">
        <is>
          <t xml:space="preserve"/>
        </is>
      </c>
      <c r="T892" s="0" t="inlineStr">
        <is>
          <t xml:space="preserve"/>
        </is>
      </c>
      <c r="U892" s="0" t="inlineStr">
        <is>
          <t xml:space="preserve"/>
        </is>
      </c>
      <c r="V892" s="0" t="inlineStr">
        <is>
          <t xml:space="preserve"/>
        </is>
      </c>
      <c r="W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>
        <f>IF(C893="","",IFERROR(LOOKUP(2,1/(($C$2:$C$1001=C893)*($Q$2:$Q$1001="win")),$O$2:$O$1001),""))</f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>
        <f>IF(N893="","",IF(OR(ISNUMBER(SEARCH("狼",N893)),ISNUMBER(SEARCH("石像鬼",N893)),ISNUMBER(SEARCH("恶灵骑士",N893)),ISNUMBER(SEARCH("黑蝙蝠",N893)),ISNUMBER(SEARCH("血月使徒",N893))),"werewolves","villagers"))</f>
      </c>
      <c r="P893" s="0" t="inlineStr">
        <is>
          <t xml:space="preserve"/>
        </is>
      </c>
      <c r="Q893" s="0">
        <f>IF(P893="","",IF(ROUND(P893,2)=5,"win","loss"))</f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>
        <f>IF(C894="","",IFERROR(LOOKUP(2,1/(($C$2:$C$1001=C894)*($Q$2:$Q$1001="win")),$O$2:$O$1001),""))</f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>
        <f>IF(N894="","",IF(OR(ISNUMBER(SEARCH("狼",N894)),ISNUMBER(SEARCH("石像鬼",N894)),ISNUMBER(SEARCH("恶灵骑士",N894)),ISNUMBER(SEARCH("黑蝙蝠",N894)),ISNUMBER(SEARCH("血月使徒",N894))),"werewolves","villagers"))</f>
      </c>
      <c r="P894" s="0" t="inlineStr">
        <is>
          <t xml:space="preserve"/>
        </is>
      </c>
      <c r="Q894" s="0">
        <f>IF(P894="","",IF(ROUND(P894,2)=5,"win","loss"))</f>
      </c>
      <c r="R894" s="0" t="inlineStr">
        <is>
          <t xml:space="preserve"/>
        </is>
      </c>
      <c r="S894" s="0" t="inlineStr">
        <is>
          <t xml:space="preserve"/>
        </is>
      </c>
      <c r="T894" s="0" t="inlineStr">
        <is>
          <t xml:space="preserve"/>
        </is>
      </c>
      <c r="U894" s="0" t="inlineStr">
        <is>
          <t xml:space="preserve"/>
        </is>
      </c>
      <c r="V894" s="0" t="inlineStr">
        <is>
          <t xml:space="preserve"/>
        </is>
      </c>
      <c r="W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>
        <f>IF(C895="","",IFERROR(LOOKUP(2,1/(($C$2:$C$1001=C895)*($Q$2:$Q$1001="win")),$O$2:$O$1001),""))</f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>
        <f>IF(N895="","",IF(OR(ISNUMBER(SEARCH("狼",N895)),ISNUMBER(SEARCH("石像鬼",N895)),ISNUMBER(SEARCH("恶灵骑士",N895)),ISNUMBER(SEARCH("黑蝙蝠",N895)),ISNUMBER(SEARCH("血月使徒",N895))),"werewolves","villagers"))</f>
      </c>
      <c r="P895" s="0" t="inlineStr">
        <is>
          <t xml:space="preserve"/>
        </is>
      </c>
      <c r="Q895" s="0">
        <f>IF(P895="","",IF(ROUND(P895,2)=5,"win","loss"))</f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>
        <f>IF(C896="","",IFERROR(LOOKUP(2,1/(($C$2:$C$1001=C896)*($Q$2:$Q$1001="win")),$O$2:$O$1001),""))</f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>
        <f>IF(N896="","",IF(OR(ISNUMBER(SEARCH("狼",N896)),ISNUMBER(SEARCH("石像鬼",N896)),ISNUMBER(SEARCH("恶灵骑士",N896)),ISNUMBER(SEARCH("黑蝙蝠",N896)),ISNUMBER(SEARCH("血月使徒",N896))),"werewolves","villagers"))</f>
      </c>
      <c r="P896" s="0" t="inlineStr">
        <is>
          <t xml:space="preserve"/>
        </is>
      </c>
      <c r="Q896" s="0">
        <f>IF(P896="","",IF(ROUND(P896,2)=5,"win","loss"))</f>
      </c>
      <c r="R896" s="0" t="inlineStr">
        <is>
          <t xml:space="preserve"/>
        </is>
      </c>
      <c r="S896" s="0" t="inlineStr">
        <is>
          <t xml:space="preserve"/>
        </is>
      </c>
      <c r="T896" s="0" t="inlineStr">
        <is>
          <t xml:space="preserve"/>
        </is>
      </c>
      <c r="U896" s="0" t="inlineStr">
        <is>
          <t xml:space="preserve"/>
        </is>
      </c>
      <c r="V896" s="0" t="inlineStr">
        <is>
          <t xml:space="preserve"/>
        </is>
      </c>
      <c r="W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>
        <f>IF(C897="","",IFERROR(LOOKUP(2,1/(($C$2:$C$1001=C897)*($Q$2:$Q$1001="win")),$O$2:$O$1001),""))</f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>
        <f>IF(N897="","",IF(OR(ISNUMBER(SEARCH("狼",N897)),ISNUMBER(SEARCH("石像鬼",N897)),ISNUMBER(SEARCH("恶灵骑士",N897)),ISNUMBER(SEARCH("黑蝙蝠",N897)),ISNUMBER(SEARCH("血月使徒",N897))),"werewolves","villagers"))</f>
      </c>
      <c r="P897" s="0" t="inlineStr">
        <is>
          <t xml:space="preserve"/>
        </is>
      </c>
      <c r="Q897" s="0">
        <f>IF(P897="","",IF(ROUND(P897,2)=5,"win","loss"))</f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>
        <f>IF(C898="","",IFERROR(LOOKUP(2,1/(($C$2:$C$1001=C898)*($Q$2:$Q$1001="win")),$O$2:$O$1001),""))</f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>
        <f>IF(N898="","",IF(OR(ISNUMBER(SEARCH("狼",N898)),ISNUMBER(SEARCH("石像鬼",N898)),ISNUMBER(SEARCH("恶灵骑士",N898)),ISNUMBER(SEARCH("黑蝙蝠",N898)),ISNUMBER(SEARCH("血月使徒",N898))),"werewolves","villagers"))</f>
      </c>
      <c r="P898" s="0" t="inlineStr">
        <is>
          <t xml:space="preserve"/>
        </is>
      </c>
      <c r="Q898" s="0">
        <f>IF(P898="","",IF(ROUND(P898,2)=5,"win","loss"))</f>
      </c>
      <c r="R898" s="0" t="inlineStr">
        <is>
          <t xml:space="preserve"/>
        </is>
      </c>
      <c r="S898" s="0" t="inlineStr">
        <is>
          <t xml:space="preserve"/>
        </is>
      </c>
      <c r="T898" s="0" t="inlineStr">
        <is>
          <t xml:space="preserve"/>
        </is>
      </c>
      <c r="U898" s="0" t="inlineStr">
        <is>
          <t xml:space="preserve"/>
        </is>
      </c>
      <c r="V898" s="0" t="inlineStr">
        <is>
          <t xml:space="preserve"/>
        </is>
      </c>
      <c r="W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>
        <f>IF(C899="","",IFERROR(LOOKUP(2,1/(($C$2:$C$1001=C899)*($Q$2:$Q$1001="win")),$O$2:$O$1001),""))</f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>
        <f>IF(N899="","",IF(OR(ISNUMBER(SEARCH("狼",N899)),ISNUMBER(SEARCH("石像鬼",N899)),ISNUMBER(SEARCH("恶灵骑士",N899)),ISNUMBER(SEARCH("黑蝙蝠",N899)),ISNUMBER(SEARCH("血月使徒",N899))),"werewolves","villagers"))</f>
      </c>
      <c r="P899" s="0" t="inlineStr">
        <is>
          <t xml:space="preserve"/>
        </is>
      </c>
      <c r="Q899" s="0">
        <f>IF(P899="","",IF(ROUND(P899,2)=5,"win","loss"))</f>
      </c>
      <c r="R899" s="0" t="inlineStr">
        <is>
          <t xml:space="preserve"/>
        </is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>
        <f>IF(C900="","",IFERROR(LOOKUP(2,1/(($C$2:$C$1001=C900)*($Q$2:$Q$1001="win")),$O$2:$O$1001),""))</f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>
        <f>IF(N900="","",IF(OR(ISNUMBER(SEARCH("狼",N900)),ISNUMBER(SEARCH("石像鬼",N900)),ISNUMBER(SEARCH("恶灵骑士",N900)),ISNUMBER(SEARCH("黑蝙蝠",N900)),ISNUMBER(SEARCH("血月使徒",N900))),"werewolves","villagers"))</f>
      </c>
      <c r="P900" s="0" t="inlineStr">
        <is>
          <t xml:space="preserve"/>
        </is>
      </c>
      <c r="Q900" s="0">
        <f>IF(P900="","",IF(ROUND(P900,2)=5,"win","loss"))</f>
      </c>
      <c r="R900" s="0" t="inlineStr">
        <is>
          <t xml:space="preserve"/>
        </is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>
        <f>IF(C901="","",IFERROR(LOOKUP(2,1/(($C$2:$C$1001=C901)*($Q$2:$Q$1001="win")),$O$2:$O$1001),""))</f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>
        <f>IF(N901="","",IF(OR(ISNUMBER(SEARCH("狼",N901)),ISNUMBER(SEARCH("石像鬼",N901)),ISNUMBER(SEARCH("恶灵骑士",N901)),ISNUMBER(SEARCH("黑蝙蝠",N901)),ISNUMBER(SEARCH("血月使徒",N901))),"werewolves","villagers"))</f>
      </c>
      <c r="P901" s="0" t="inlineStr">
        <is>
          <t xml:space="preserve"/>
        </is>
      </c>
      <c r="Q901" s="0">
        <f>IF(P901="","",IF(ROUND(P901,2)=5,"win","loss"))</f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>
        <f>IF(C902="","",IFERROR(LOOKUP(2,1/(($C$2:$C$1001=C902)*($Q$2:$Q$1001="win")),$O$2:$O$1001),""))</f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>
        <f>IF(N902="","",IF(OR(ISNUMBER(SEARCH("狼",N902)),ISNUMBER(SEARCH("石像鬼",N902)),ISNUMBER(SEARCH("恶灵骑士",N902)),ISNUMBER(SEARCH("黑蝙蝠",N902)),ISNUMBER(SEARCH("血月使徒",N902))),"werewolves","villagers"))</f>
      </c>
      <c r="P902" s="0" t="inlineStr">
        <is>
          <t xml:space="preserve"/>
        </is>
      </c>
      <c r="Q902" s="0">
        <f>IF(P902="","",IF(ROUND(P902,2)=5,"win","loss"))</f>
      </c>
      <c r="R902" s="0" t="inlineStr">
        <is>
          <t xml:space="preserve"/>
        </is>
      </c>
      <c r="S902" s="0" t="inlineStr">
        <is>
          <t xml:space="preserve"/>
        </is>
      </c>
      <c r="T902" s="0" t="inlineStr">
        <is>
          <t xml:space="preserve"/>
        </is>
      </c>
      <c r="U902" s="0" t="inlineStr">
        <is>
          <t xml:space="preserve"/>
        </is>
      </c>
      <c r="V902" s="0" t="inlineStr">
        <is>
          <t xml:space="preserve"/>
        </is>
      </c>
      <c r="W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>
        <f>IF(C903="","",IFERROR(LOOKUP(2,1/(($C$2:$C$1001=C903)*($Q$2:$Q$1001="win")),$O$2:$O$1001),""))</f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>
        <f>IF(N903="","",IF(OR(ISNUMBER(SEARCH("狼",N903)),ISNUMBER(SEARCH("石像鬼",N903)),ISNUMBER(SEARCH("恶灵骑士",N903)),ISNUMBER(SEARCH("黑蝙蝠",N903)),ISNUMBER(SEARCH("血月使徒",N903))),"werewolves","villagers"))</f>
      </c>
      <c r="P903" s="0" t="inlineStr">
        <is>
          <t xml:space="preserve"/>
        </is>
      </c>
      <c r="Q903" s="0">
        <f>IF(P903="","",IF(ROUND(P903,2)=5,"win","loss"))</f>
      </c>
      <c r="R903" s="0" t="inlineStr">
        <is>
          <t xml:space="preserve"/>
        </is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>
        <f>IF(C904="","",IFERROR(LOOKUP(2,1/(($C$2:$C$1001=C904)*($Q$2:$Q$1001="win")),$O$2:$O$1001),""))</f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>
        <f>IF(N904="","",IF(OR(ISNUMBER(SEARCH("狼",N904)),ISNUMBER(SEARCH("石像鬼",N904)),ISNUMBER(SEARCH("恶灵骑士",N904)),ISNUMBER(SEARCH("黑蝙蝠",N904)),ISNUMBER(SEARCH("血月使徒",N904))),"werewolves","villagers"))</f>
      </c>
      <c r="P904" s="0" t="inlineStr">
        <is>
          <t xml:space="preserve"/>
        </is>
      </c>
      <c r="Q904" s="0">
        <f>IF(P904="","",IF(ROUND(P904,2)=5,"win","loss"))</f>
      </c>
      <c r="R904" s="0" t="inlineStr">
        <is>
          <t xml:space="preserve"/>
        </is>
      </c>
      <c r="S904" s="0" t="inlineStr">
        <is>
          <t xml:space="preserve"/>
        </is>
      </c>
      <c r="T904" s="0" t="inlineStr">
        <is>
          <t xml:space="preserve"/>
        </is>
      </c>
      <c r="U904" s="0" t="inlineStr">
        <is>
          <t xml:space="preserve"/>
        </is>
      </c>
      <c r="V904" s="0" t="inlineStr">
        <is>
          <t xml:space="preserve"/>
        </is>
      </c>
      <c r="W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>
        <f>IF(C905="","",IFERROR(LOOKUP(2,1/(($C$2:$C$1001=C905)*($Q$2:$Q$1001="win")),$O$2:$O$1001),""))</f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>
        <f>IF(N905="","",IF(OR(ISNUMBER(SEARCH("狼",N905)),ISNUMBER(SEARCH("石像鬼",N905)),ISNUMBER(SEARCH("恶灵骑士",N905)),ISNUMBER(SEARCH("黑蝙蝠",N905)),ISNUMBER(SEARCH("血月使徒",N905))),"werewolves","villagers"))</f>
      </c>
      <c r="P905" s="0" t="inlineStr">
        <is>
          <t xml:space="preserve"/>
        </is>
      </c>
      <c r="Q905" s="0">
        <f>IF(P905="","",IF(ROUND(P905,2)=5,"win","loss"))</f>
      </c>
      <c r="R905" s="0" t="inlineStr">
        <is>
          <t xml:space="preserve"/>
        </is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>
        <f>IF(C906="","",IFERROR(LOOKUP(2,1/(($C$2:$C$1001=C906)*($Q$2:$Q$1001="win")),$O$2:$O$1001),""))</f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>
        <f>IF(N906="","",IF(OR(ISNUMBER(SEARCH("狼",N906)),ISNUMBER(SEARCH("石像鬼",N906)),ISNUMBER(SEARCH("恶灵骑士",N906)),ISNUMBER(SEARCH("黑蝙蝠",N906)),ISNUMBER(SEARCH("血月使徒",N906))),"werewolves","villagers"))</f>
      </c>
      <c r="P906" s="0" t="inlineStr">
        <is>
          <t xml:space="preserve"/>
        </is>
      </c>
      <c r="Q906" s="0">
        <f>IF(P906="","",IF(ROUND(P906,2)=5,"win","loss"))</f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>
        <f>IF(C907="","",IFERROR(LOOKUP(2,1/(($C$2:$C$1001=C907)*($Q$2:$Q$1001="win")),$O$2:$O$1001),""))</f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>
        <f>IF(N907="","",IF(OR(ISNUMBER(SEARCH("狼",N907)),ISNUMBER(SEARCH("石像鬼",N907)),ISNUMBER(SEARCH("恶灵骑士",N907)),ISNUMBER(SEARCH("黑蝙蝠",N907)),ISNUMBER(SEARCH("血月使徒",N907))),"werewolves","villagers"))</f>
      </c>
      <c r="P907" s="0" t="inlineStr">
        <is>
          <t xml:space="preserve"/>
        </is>
      </c>
      <c r="Q907" s="0">
        <f>IF(P907="","",IF(ROUND(P907,2)=5,"win","loss"))</f>
      </c>
      <c r="R907" s="0" t="inlineStr">
        <is>
          <t xml:space="preserve"/>
        </is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>
        <f>IF(C908="","",IFERROR(LOOKUP(2,1/(($C$2:$C$1001=C908)*($Q$2:$Q$1001="win")),$O$2:$O$1001),""))</f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>
        <f>IF(N908="","",IF(OR(ISNUMBER(SEARCH("狼",N908)),ISNUMBER(SEARCH("石像鬼",N908)),ISNUMBER(SEARCH("恶灵骑士",N908)),ISNUMBER(SEARCH("黑蝙蝠",N908)),ISNUMBER(SEARCH("血月使徒",N908))),"werewolves","villagers"))</f>
      </c>
      <c r="P908" s="0" t="inlineStr">
        <is>
          <t xml:space="preserve"/>
        </is>
      </c>
      <c r="Q908" s="0">
        <f>IF(P908="","",IF(ROUND(P908,2)=5,"win","loss"))</f>
      </c>
      <c r="R908" s="0" t="inlineStr">
        <is>
          <t xml:space="preserve"/>
        </is>
      </c>
      <c r="S908" s="0" t="inlineStr">
        <is>
          <t xml:space="preserve"/>
        </is>
      </c>
      <c r="T908" s="0" t="inlineStr">
        <is>
          <t xml:space="preserve"/>
        </is>
      </c>
      <c r="U908" s="0" t="inlineStr">
        <is>
          <t xml:space="preserve"/>
        </is>
      </c>
      <c r="V908" s="0" t="inlineStr">
        <is>
          <t xml:space="preserve"/>
        </is>
      </c>
      <c r="W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>
        <f>IF(C909="","",IFERROR(LOOKUP(2,1/(($C$2:$C$1001=C909)*($Q$2:$Q$1001="win")),$O$2:$O$1001),""))</f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>
        <f>IF(N909="","",IF(OR(ISNUMBER(SEARCH("狼",N909)),ISNUMBER(SEARCH("石像鬼",N909)),ISNUMBER(SEARCH("恶灵骑士",N909)),ISNUMBER(SEARCH("黑蝙蝠",N909)),ISNUMBER(SEARCH("血月使徒",N909))),"werewolves","villagers"))</f>
      </c>
      <c r="P909" s="0" t="inlineStr">
        <is>
          <t xml:space="preserve"/>
        </is>
      </c>
      <c r="Q909" s="0">
        <f>IF(P909="","",IF(ROUND(P909,2)=5,"win","loss"))</f>
      </c>
      <c r="R909" s="0" t="inlineStr">
        <is>
          <t xml:space="preserve"/>
        </is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>
        <f>IF(C910="","",IFERROR(LOOKUP(2,1/(($C$2:$C$1001=C910)*($Q$2:$Q$1001="win")),$O$2:$O$1001),""))</f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>
        <f>IF(N910="","",IF(OR(ISNUMBER(SEARCH("狼",N910)),ISNUMBER(SEARCH("石像鬼",N910)),ISNUMBER(SEARCH("恶灵骑士",N910)),ISNUMBER(SEARCH("黑蝙蝠",N910)),ISNUMBER(SEARCH("血月使徒",N910))),"werewolves","villagers"))</f>
      </c>
      <c r="P910" s="0" t="inlineStr">
        <is>
          <t xml:space="preserve"/>
        </is>
      </c>
      <c r="Q910" s="0">
        <f>IF(P910="","",IF(ROUND(P910,2)=5,"win","loss"))</f>
      </c>
      <c r="R910" s="0" t="inlineStr">
        <is>
          <t xml:space="preserve"/>
        </is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>
        <f>IF(C911="","",IFERROR(LOOKUP(2,1/(($C$2:$C$1001=C911)*($Q$2:$Q$1001="win")),$O$2:$O$1001),""))</f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>
        <f>IF(N911="","",IF(OR(ISNUMBER(SEARCH("狼",N911)),ISNUMBER(SEARCH("石像鬼",N911)),ISNUMBER(SEARCH("恶灵骑士",N911)),ISNUMBER(SEARCH("黑蝙蝠",N911)),ISNUMBER(SEARCH("血月使徒",N911))),"werewolves","villagers"))</f>
      </c>
      <c r="P911" s="0" t="inlineStr">
        <is>
          <t xml:space="preserve"/>
        </is>
      </c>
      <c r="Q911" s="0">
        <f>IF(P911="","",IF(ROUND(P911,2)=5,"win","loss"))</f>
      </c>
      <c r="R911" s="0" t="inlineStr">
        <is>
          <t xml:space="preserve"/>
        </is>
      </c>
      <c r="S911" s="0" t="inlineStr">
        <is>
          <t xml:space="preserve"/>
        </is>
      </c>
      <c r="T911" s="0" t="inlineStr">
        <is>
          <t xml:space="preserve"/>
        </is>
      </c>
      <c r="U911" s="0" t="inlineStr">
        <is>
          <t xml:space="preserve"/>
        </is>
      </c>
      <c r="V911" s="0" t="inlineStr">
        <is>
          <t xml:space="preserve"/>
        </is>
      </c>
      <c r="W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>
        <f>IF(C912="","",IFERROR(LOOKUP(2,1/(($C$2:$C$1001=C912)*($Q$2:$Q$1001="win")),$O$2:$O$1001),""))</f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>
        <f>IF(N912="","",IF(OR(ISNUMBER(SEARCH("狼",N912)),ISNUMBER(SEARCH("石像鬼",N912)),ISNUMBER(SEARCH("恶灵骑士",N912)),ISNUMBER(SEARCH("黑蝙蝠",N912)),ISNUMBER(SEARCH("血月使徒",N912))),"werewolves","villagers"))</f>
      </c>
      <c r="P912" s="0" t="inlineStr">
        <is>
          <t xml:space="preserve"/>
        </is>
      </c>
      <c r="Q912" s="0">
        <f>IF(P912="","",IF(ROUND(P912,2)=5,"win","loss"))</f>
      </c>
      <c r="R912" s="0" t="inlineStr">
        <is>
          <t xml:space="preserve"/>
        </is>
      </c>
      <c r="S912" s="0" t="inlineStr">
        <is>
          <t xml:space="preserve"/>
        </is>
      </c>
      <c r="T912" s="0" t="inlineStr">
        <is>
          <t xml:space="preserve"/>
        </is>
      </c>
      <c r="U912" s="0" t="inlineStr">
        <is>
          <t xml:space="preserve"/>
        </is>
      </c>
      <c r="V912" s="0" t="inlineStr">
        <is>
          <t xml:space="preserve"/>
        </is>
      </c>
      <c r="W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>
        <f>IF(C913="","",IFERROR(LOOKUP(2,1/(($C$2:$C$1001=C913)*($Q$2:$Q$1001="win")),$O$2:$O$1001),""))</f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>
        <f>IF(N913="","",IF(OR(ISNUMBER(SEARCH("狼",N913)),ISNUMBER(SEARCH("石像鬼",N913)),ISNUMBER(SEARCH("恶灵骑士",N913)),ISNUMBER(SEARCH("黑蝙蝠",N913)),ISNUMBER(SEARCH("血月使徒",N913))),"werewolves","villagers"))</f>
      </c>
      <c r="P913" s="0" t="inlineStr">
        <is>
          <t xml:space="preserve"/>
        </is>
      </c>
      <c r="Q913" s="0">
        <f>IF(P913="","",IF(ROUND(P913,2)=5,"win","loss"))</f>
      </c>
      <c r="R913" s="0" t="inlineStr">
        <is>
          <t xml:space="preserve"/>
        </is>
      </c>
      <c r="S913" s="0" t="inlineStr">
        <is>
          <t xml:space="preserve"/>
        </is>
      </c>
      <c r="T913" s="0" t="inlineStr">
        <is>
          <t xml:space="preserve"/>
        </is>
      </c>
      <c r="U913" s="0" t="inlineStr">
        <is>
          <t xml:space="preserve"/>
        </is>
      </c>
      <c r="V913" s="0" t="inlineStr">
        <is>
          <t xml:space="preserve"/>
        </is>
      </c>
      <c r="W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>
        <f>IF(C914="","",IFERROR(LOOKUP(2,1/(($C$2:$C$1001=C914)*($Q$2:$Q$1001="win")),$O$2:$O$1001),""))</f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>
        <f>IF(N914="","",IF(OR(ISNUMBER(SEARCH("狼",N914)),ISNUMBER(SEARCH("石像鬼",N914)),ISNUMBER(SEARCH("恶灵骑士",N914)),ISNUMBER(SEARCH("黑蝙蝠",N914)),ISNUMBER(SEARCH("血月使徒",N914))),"werewolves","villagers"))</f>
      </c>
      <c r="P914" s="0" t="inlineStr">
        <is>
          <t xml:space="preserve"/>
        </is>
      </c>
      <c r="Q914" s="0">
        <f>IF(P914="","",IF(ROUND(P914,2)=5,"win","loss"))</f>
      </c>
      <c r="R914" s="0" t="inlineStr">
        <is>
          <t xml:space="preserve"/>
        </is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>
        <f>IF(C915="","",IFERROR(LOOKUP(2,1/(($C$2:$C$1001=C915)*($Q$2:$Q$1001="win")),$O$2:$O$1001),""))</f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>
        <f>IF(N915="","",IF(OR(ISNUMBER(SEARCH("狼",N915)),ISNUMBER(SEARCH("石像鬼",N915)),ISNUMBER(SEARCH("恶灵骑士",N915)),ISNUMBER(SEARCH("黑蝙蝠",N915)),ISNUMBER(SEARCH("血月使徒",N915))),"werewolves","villagers"))</f>
      </c>
      <c r="P915" s="0" t="inlineStr">
        <is>
          <t xml:space="preserve"/>
        </is>
      </c>
      <c r="Q915" s="0">
        <f>IF(P915="","",IF(ROUND(P915,2)=5,"win","loss"))</f>
      </c>
      <c r="R915" s="0" t="inlineStr">
        <is>
          <t xml:space="preserve"/>
        </is>
      </c>
      <c r="S915" s="0" t="inlineStr">
        <is>
          <t xml:space="preserve"/>
        </is>
      </c>
      <c r="T915" s="0" t="inlineStr">
        <is>
          <t xml:space="preserve"/>
        </is>
      </c>
      <c r="U915" s="0" t="inlineStr">
        <is>
          <t xml:space="preserve"/>
        </is>
      </c>
      <c r="V915" s="0" t="inlineStr">
        <is>
          <t xml:space="preserve"/>
        </is>
      </c>
      <c r="W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>
        <f>IF(C916="","",IFERROR(LOOKUP(2,1/(($C$2:$C$1001=C916)*($Q$2:$Q$1001="win")),$O$2:$O$1001),""))</f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>
        <f>IF(N916="","",IF(OR(ISNUMBER(SEARCH("狼",N916)),ISNUMBER(SEARCH("石像鬼",N916)),ISNUMBER(SEARCH("恶灵骑士",N916)),ISNUMBER(SEARCH("黑蝙蝠",N916)),ISNUMBER(SEARCH("血月使徒",N916))),"werewolves","villagers"))</f>
      </c>
      <c r="P916" s="0" t="inlineStr">
        <is>
          <t xml:space="preserve"/>
        </is>
      </c>
      <c r="Q916" s="0">
        <f>IF(P916="","",IF(ROUND(P916,2)=5,"win","loss"))</f>
      </c>
      <c r="R916" s="0" t="inlineStr">
        <is>
          <t xml:space="preserve"/>
        </is>
      </c>
      <c r="S916" s="0" t="inlineStr">
        <is>
          <t xml:space="preserve"/>
        </is>
      </c>
      <c r="T916" s="0" t="inlineStr">
        <is>
          <t xml:space="preserve"/>
        </is>
      </c>
      <c r="U916" s="0" t="inlineStr">
        <is>
          <t xml:space="preserve"/>
        </is>
      </c>
      <c r="V916" s="0" t="inlineStr">
        <is>
          <t xml:space="preserve"/>
        </is>
      </c>
      <c r="W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>
        <f>IF(C917="","",IFERROR(LOOKUP(2,1/(($C$2:$C$1001=C917)*($Q$2:$Q$1001="win")),$O$2:$O$1001),""))</f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>
        <f>IF(N917="","",IF(OR(ISNUMBER(SEARCH("狼",N917)),ISNUMBER(SEARCH("石像鬼",N917)),ISNUMBER(SEARCH("恶灵骑士",N917)),ISNUMBER(SEARCH("黑蝙蝠",N917)),ISNUMBER(SEARCH("血月使徒",N917))),"werewolves","villagers"))</f>
      </c>
      <c r="P917" s="0" t="inlineStr">
        <is>
          <t xml:space="preserve"/>
        </is>
      </c>
      <c r="Q917" s="0">
        <f>IF(P917="","",IF(ROUND(P917,2)=5,"win","loss"))</f>
      </c>
      <c r="R917" s="0" t="inlineStr">
        <is>
          <t xml:space="preserve"/>
        </is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>
        <f>IF(C918="","",IFERROR(LOOKUP(2,1/(($C$2:$C$1001=C918)*($Q$2:$Q$1001="win")),$O$2:$O$1001),""))</f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>
        <f>IF(N918="","",IF(OR(ISNUMBER(SEARCH("狼",N918)),ISNUMBER(SEARCH("石像鬼",N918)),ISNUMBER(SEARCH("恶灵骑士",N918)),ISNUMBER(SEARCH("黑蝙蝠",N918)),ISNUMBER(SEARCH("血月使徒",N918))),"werewolves","villagers"))</f>
      </c>
      <c r="P918" s="0" t="inlineStr">
        <is>
          <t xml:space="preserve"/>
        </is>
      </c>
      <c r="Q918" s="0">
        <f>IF(P918="","",IF(ROUND(P918,2)=5,"win","loss"))</f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>
        <f>IF(C919="","",IFERROR(LOOKUP(2,1/(($C$2:$C$1001=C919)*($Q$2:$Q$1001="win")),$O$2:$O$1001),""))</f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>
        <f>IF(N919="","",IF(OR(ISNUMBER(SEARCH("狼",N919)),ISNUMBER(SEARCH("石像鬼",N919)),ISNUMBER(SEARCH("恶灵骑士",N919)),ISNUMBER(SEARCH("黑蝙蝠",N919)),ISNUMBER(SEARCH("血月使徒",N919))),"werewolves","villagers"))</f>
      </c>
      <c r="P919" s="0" t="inlineStr">
        <is>
          <t xml:space="preserve"/>
        </is>
      </c>
      <c r="Q919" s="0">
        <f>IF(P919="","",IF(ROUND(P919,2)=5,"win","loss"))</f>
      </c>
      <c r="R919" s="0" t="inlineStr">
        <is>
          <t xml:space="preserve"/>
        </is>
      </c>
      <c r="S919" s="0" t="inlineStr">
        <is>
          <t xml:space="preserve"/>
        </is>
      </c>
      <c r="T919" s="0" t="inlineStr">
        <is>
          <t xml:space="preserve"/>
        </is>
      </c>
      <c r="U919" s="0" t="inlineStr">
        <is>
          <t xml:space="preserve"/>
        </is>
      </c>
      <c r="V919" s="0" t="inlineStr">
        <is>
          <t xml:space="preserve"/>
        </is>
      </c>
      <c r="W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>
        <f>IF(C920="","",IFERROR(LOOKUP(2,1/(($C$2:$C$1001=C920)*($Q$2:$Q$1001="win")),$O$2:$O$1001),""))</f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>
        <f>IF(N920="","",IF(OR(ISNUMBER(SEARCH("狼",N920)),ISNUMBER(SEARCH("石像鬼",N920)),ISNUMBER(SEARCH("恶灵骑士",N920)),ISNUMBER(SEARCH("黑蝙蝠",N920)),ISNUMBER(SEARCH("血月使徒",N920))),"werewolves","villagers"))</f>
      </c>
      <c r="P920" s="0" t="inlineStr">
        <is>
          <t xml:space="preserve"/>
        </is>
      </c>
      <c r="Q920" s="0">
        <f>IF(P920="","",IF(ROUND(P920,2)=5,"win","loss"))</f>
      </c>
      <c r="R920" s="0" t="inlineStr">
        <is>
          <t xml:space="preserve"/>
        </is>
      </c>
      <c r="S920" s="0" t="inlineStr">
        <is>
          <t xml:space="preserve"/>
        </is>
      </c>
      <c r="T920" s="0" t="inlineStr">
        <is>
          <t xml:space="preserve"/>
        </is>
      </c>
      <c r="U920" s="0" t="inlineStr">
        <is>
          <t xml:space="preserve"/>
        </is>
      </c>
      <c r="V920" s="0" t="inlineStr">
        <is>
          <t xml:space="preserve"/>
        </is>
      </c>
      <c r="W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>
        <f>IF(C921="","",IFERROR(LOOKUP(2,1/(($C$2:$C$1001=C921)*($Q$2:$Q$1001="win")),$O$2:$O$1001),""))</f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>
        <f>IF(N921="","",IF(OR(ISNUMBER(SEARCH("狼",N921)),ISNUMBER(SEARCH("石像鬼",N921)),ISNUMBER(SEARCH("恶灵骑士",N921)),ISNUMBER(SEARCH("黑蝙蝠",N921)),ISNUMBER(SEARCH("血月使徒",N921))),"werewolves","villagers"))</f>
      </c>
      <c r="P921" s="0" t="inlineStr">
        <is>
          <t xml:space="preserve"/>
        </is>
      </c>
      <c r="Q921" s="0">
        <f>IF(P921="","",IF(ROUND(P921,2)=5,"win","loss"))</f>
      </c>
      <c r="R921" s="0" t="inlineStr">
        <is>
          <t xml:space="preserve"/>
        </is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>
        <f>IF(C922="","",IFERROR(LOOKUP(2,1/(($C$2:$C$1001=C922)*($Q$2:$Q$1001="win")),$O$2:$O$1001),""))</f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>
        <f>IF(N922="","",IF(OR(ISNUMBER(SEARCH("狼",N922)),ISNUMBER(SEARCH("石像鬼",N922)),ISNUMBER(SEARCH("恶灵骑士",N922)),ISNUMBER(SEARCH("黑蝙蝠",N922)),ISNUMBER(SEARCH("血月使徒",N922))),"werewolves","villagers"))</f>
      </c>
      <c r="P922" s="0" t="inlineStr">
        <is>
          <t xml:space="preserve"/>
        </is>
      </c>
      <c r="Q922" s="0">
        <f>IF(P922="","",IF(ROUND(P922,2)=5,"win","loss"))</f>
      </c>
      <c r="R922" s="0" t="inlineStr">
        <is>
          <t xml:space="preserve"/>
        </is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>
        <f>IF(C923="","",IFERROR(LOOKUP(2,1/(($C$2:$C$1001=C923)*($Q$2:$Q$1001="win")),$O$2:$O$1001),""))</f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>
        <f>IF(N923="","",IF(OR(ISNUMBER(SEARCH("狼",N923)),ISNUMBER(SEARCH("石像鬼",N923)),ISNUMBER(SEARCH("恶灵骑士",N923)),ISNUMBER(SEARCH("黑蝙蝠",N923)),ISNUMBER(SEARCH("血月使徒",N923))),"werewolves","villagers"))</f>
      </c>
      <c r="P923" s="0" t="inlineStr">
        <is>
          <t xml:space="preserve"/>
        </is>
      </c>
      <c r="Q923" s="0">
        <f>IF(P923="","",IF(ROUND(P923,2)=5,"win","loss"))</f>
      </c>
      <c r="R923" s="0" t="inlineStr">
        <is>
          <t xml:space="preserve"/>
        </is>
      </c>
      <c r="S923" s="0" t="inlineStr">
        <is>
          <t xml:space="preserve"/>
        </is>
      </c>
      <c r="T923" s="0" t="inlineStr">
        <is>
          <t xml:space="preserve"/>
        </is>
      </c>
      <c r="U923" s="0" t="inlineStr">
        <is>
          <t xml:space="preserve"/>
        </is>
      </c>
      <c r="V923" s="0" t="inlineStr">
        <is>
          <t xml:space="preserve"/>
        </is>
      </c>
      <c r="W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>
        <f>IF(C924="","",IFERROR(LOOKUP(2,1/(($C$2:$C$1001=C924)*($Q$2:$Q$1001="win")),$O$2:$O$1001),""))</f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>
        <f>IF(N924="","",IF(OR(ISNUMBER(SEARCH("狼",N924)),ISNUMBER(SEARCH("石像鬼",N924)),ISNUMBER(SEARCH("恶灵骑士",N924)),ISNUMBER(SEARCH("黑蝙蝠",N924)),ISNUMBER(SEARCH("血月使徒",N924))),"werewolves","villagers"))</f>
      </c>
      <c r="P924" s="0" t="inlineStr">
        <is>
          <t xml:space="preserve"/>
        </is>
      </c>
      <c r="Q924" s="0">
        <f>IF(P924="","",IF(ROUND(P924,2)=5,"win","loss"))</f>
      </c>
      <c r="R924" s="0" t="inlineStr">
        <is>
          <t xml:space="preserve"/>
        </is>
      </c>
      <c r="S924" s="0" t="inlineStr">
        <is>
          <t xml:space="preserve"/>
        </is>
      </c>
      <c r="T924" s="0" t="inlineStr">
        <is>
          <t xml:space="preserve"/>
        </is>
      </c>
      <c r="U924" s="0" t="inlineStr">
        <is>
          <t xml:space="preserve"/>
        </is>
      </c>
      <c r="V924" s="0" t="inlineStr">
        <is>
          <t xml:space="preserve"/>
        </is>
      </c>
      <c r="W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>
        <f>IF(C925="","",IFERROR(LOOKUP(2,1/(($C$2:$C$1001=C925)*($Q$2:$Q$1001="win")),$O$2:$O$1001),""))</f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>
        <f>IF(N925="","",IF(OR(ISNUMBER(SEARCH("狼",N925)),ISNUMBER(SEARCH("石像鬼",N925)),ISNUMBER(SEARCH("恶灵骑士",N925)),ISNUMBER(SEARCH("黑蝙蝠",N925)),ISNUMBER(SEARCH("血月使徒",N925))),"werewolves","villagers"))</f>
      </c>
      <c r="P925" s="0" t="inlineStr">
        <is>
          <t xml:space="preserve"/>
        </is>
      </c>
      <c r="Q925" s="0">
        <f>IF(P925="","",IF(ROUND(P925,2)=5,"win","loss"))</f>
      </c>
      <c r="R925" s="0" t="inlineStr">
        <is>
          <t xml:space="preserve"/>
        </is>
      </c>
      <c r="S925" s="0" t="inlineStr">
        <is>
          <t xml:space="preserve"/>
        </is>
      </c>
      <c r="T925" s="0" t="inlineStr">
        <is>
          <t xml:space="preserve"/>
        </is>
      </c>
      <c r="U925" s="0" t="inlineStr">
        <is>
          <t xml:space="preserve"/>
        </is>
      </c>
      <c r="V925" s="0" t="inlineStr">
        <is>
          <t xml:space="preserve"/>
        </is>
      </c>
      <c r="W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>
        <f>IF(C926="","",IFERROR(LOOKUP(2,1/(($C$2:$C$1001=C926)*($Q$2:$Q$1001="win")),$O$2:$O$1001),""))</f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>
        <f>IF(N926="","",IF(OR(ISNUMBER(SEARCH("狼",N926)),ISNUMBER(SEARCH("石像鬼",N926)),ISNUMBER(SEARCH("恶灵骑士",N926)),ISNUMBER(SEARCH("黑蝙蝠",N926)),ISNUMBER(SEARCH("血月使徒",N926))),"werewolves","villagers"))</f>
      </c>
      <c r="P926" s="0" t="inlineStr">
        <is>
          <t xml:space="preserve"/>
        </is>
      </c>
      <c r="Q926" s="0">
        <f>IF(P926="","",IF(ROUND(P926,2)=5,"win","loss"))</f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>
        <f>IF(C927="","",IFERROR(LOOKUP(2,1/(($C$2:$C$1001=C927)*($Q$2:$Q$1001="win")),$O$2:$O$1001),""))</f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>
        <f>IF(N927="","",IF(OR(ISNUMBER(SEARCH("狼",N927)),ISNUMBER(SEARCH("石像鬼",N927)),ISNUMBER(SEARCH("恶灵骑士",N927)),ISNUMBER(SEARCH("黑蝙蝠",N927)),ISNUMBER(SEARCH("血月使徒",N927))),"werewolves","villagers"))</f>
      </c>
      <c r="P927" s="0" t="inlineStr">
        <is>
          <t xml:space="preserve"/>
        </is>
      </c>
      <c r="Q927" s="0">
        <f>IF(P927="","",IF(ROUND(P927,2)=5,"win","loss"))</f>
      </c>
      <c r="R927" s="0" t="inlineStr">
        <is>
          <t xml:space="preserve"/>
        </is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>
        <f>IF(C928="","",IFERROR(LOOKUP(2,1/(($C$2:$C$1001=C928)*($Q$2:$Q$1001="win")),$O$2:$O$1001),""))</f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>
        <f>IF(N928="","",IF(OR(ISNUMBER(SEARCH("狼",N928)),ISNUMBER(SEARCH("石像鬼",N928)),ISNUMBER(SEARCH("恶灵骑士",N928)),ISNUMBER(SEARCH("黑蝙蝠",N928)),ISNUMBER(SEARCH("血月使徒",N928))),"werewolves","villagers"))</f>
      </c>
      <c r="P928" s="0" t="inlineStr">
        <is>
          <t xml:space="preserve"/>
        </is>
      </c>
      <c r="Q928" s="0">
        <f>IF(P928="","",IF(ROUND(P928,2)=5,"win","loss"))</f>
      </c>
      <c r="R928" s="0" t="inlineStr">
        <is>
          <t xml:space="preserve"/>
        </is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>
        <f>IF(C929="","",IFERROR(LOOKUP(2,1/(($C$2:$C$1001=C929)*($Q$2:$Q$1001="win")),$O$2:$O$1001),""))</f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>
        <f>IF(N929="","",IF(OR(ISNUMBER(SEARCH("狼",N929)),ISNUMBER(SEARCH("石像鬼",N929)),ISNUMBER(SEARCH("恶灵骑士",N929)),ISNUMBER(SEARCH("黑蝙蝠",N929)),ISNUMBER(SEARCH("血月使徒",N929))),"werewolves","villagers"))</f>
      </c>
      <c r="P929" s="0" t="inlineStr">
        <is>
          <t xml:space="preserve"/>
        </is>
      </c>
      <c r="Q929" s="0">
        <f>IF(P929="","",IF(ROUND(P929,2)=5,"win","loss"))</f>
      </c>
      <c r="R929" s="0" t="inlineStr">
        <is>
          <t xml:space="preserve"/>
        </is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>
        <f>IF(C930="","",IFERROR(LOOKUP(2,1/(($C$2:$C$1001=C930)*($Q$2:$Q$1001="win")),$O$2:$O$1001),""))</f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>
        <f>IF(N930="","",IF(OR(ISNUMBER(SEARCH("狼",N930)),ISNUMBER(SEARCH("石像鬼",N930)),ISNUMBER(SEARCH("恶灵骑士",N930)),ISNUMBER(SEARCH("黑蝙蝠",N930)),ISNUMBER(SEARCH("血月使徒",N930))),"werewolves","villagers"))</f>
      </c>
      <c r="P930" s="0" t="inlineStr">
        <is>
          <t xml:space="preserve"/>
        </is>
      </c>
      <c r="Q930" s="0">
        <f>IF(P930="","",IF(ROUND(P930,2)=5,"win","loss"))</f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>
        <f>IF(C931="","",IFERROR(LOOKUP(2,1/(($C$2:$C$1001=C931)*($Q$2:$Q$1001="win")),$O$2:$O$1001),""))</f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>
        <f>IF(N931="","",IF(OR(ISNUMBER(SEARCH("狼",N931)),ISNUMBER(SEARCH("石像鬼",N931)),ISNUMBER(SEARCH("恶灵骑士",N931)),ISNUMBER(SEARCH("黑蝙蝠",N931)),ISNUMBER(SEARCH("血月使徒",N931))),"werewolves","villagers"))</f>
      </c>
      <c r="P931" s="0" t="inlineStr">
        <is>
          <t xml:space="preserve"/>
        </is>
      </c>
      <c r="Q931" s="0">
        <f>IF(P931="","",IF(ROUND(P931,2)=5,"win","loss"))</f>
      </c>
      <c r="R931" s="0" t="inlineStr">
        <is>
          <t xml:space="preserve"/>
        </is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>
        <f>IF(C932="","",IFERROR(LOOKUP(2,1/(($C$2:$C$1001=C932)*($Q$2:$Q$1001="win")),$O$2:$O$1001),""))</f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>
        <f>IF(N932="","",IF(OR(ISNUMBER(SEARCH("狼",N932)),ISNUMBER(SEARCH("石像鬼",N932)),ISNUMBER(SEARCH("恶灵骑士",N932)),ISNUMBER(SEARCH("黑蝙蝠",N932)),ISNUMBER(SEARCH("血月使徒",N932))),"werewolves","villagers"))</f>
      </c>
      <c r="P932" s="0" t="inlineStr">
        <is>
          <t xml:space="preserve"/>
        </is>
      </c>
      <c r="Q932" s="0">
        <f>IF(P932="","",IF(ROUND(P932,2)=5,"win","loss"))</f>
      </c>
      <c r="R932" s="0" t="inlineStr">
        <is>
          <t xml:space="preserve"/>
        </is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>
        <f>IF(C933="","",IFERROR(LOOKUP(2,1/(($C$2:$C$1001=C933)*($Q$2:$Q$1001="win")),$O$2:$O$1001),""))</f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>
        <f>IF(N933="","",IF(OR(ISNUMBER(SEARCH("狼",N933)),ISNUMBER(SEARCH("石像鬼",N933)),ISNUMBER(SEARCH("恶灵骑士",N933)),ISNUMBER(SEARCH("黑蝙蝠",N933)),ISNUMBER(SEARCH("血月使徒",N933))),"werewolves","villagers"))</f>
      </c>
      <c r="P933" s="0" t="inlineStr">
        <is>
          <t xml:space="preserve"/>
        </is>
      </c>
      <c r="Q933" s="0">
        <f>IF(P933="","",IF(ROUND(P933,2)=5,"win","loss"))</f>
      </c>
      <c r="R933" s="0" t="inlineStr">
        <is>
          <t xml:space="preserve"/>
        </is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>
        <f>IF(C934="","",IFERROR(LOOKUP(2,1/(($C$2:$C$1001=C934)*($Q$2:$Q$1001="win")),$O$2:$O$1001),""))</f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>
        <f>IF(N934="","",IF(OR(ISNUMBER(SEARCH("狼",N934)),ISNUMBER(SEARCH("石像鬼",N934)),ISNUMBER(SEARCH("恶灵骑士",N934)),ISNUMBER(SEARCH("黑蝙蝠",N934)),ISNUMBER(SEARCH("血月使徒",N934))),"werewolves","villagers"))</f>
      </c>
      <c r="P934" s="0" t="inlineStr">
        <is>
          <t xml:space="preserve"/>
        </is>
      </c>
      <c r="Q934" s="0">
        <f>IF(P934="","",IF(ROUND(P934,2)=5,"win","loss"))</f>
      </c>
      <c r="R934" s="0" t="inlineStr">
        <is>
          <t xml:space="preserve"/>
        </is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>
        <f>IF(C935="","",IFERROR(LOOKUP(2,1/(($C$2:$C$1001=C935)*($Q$2:$Q$1001="win")),$O$2:$O$1001),""))</f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>
        <f>IF(N935="","",IF(OR(ISNUMBER(SEARCH("狼",N935)),ISNUMBER(SEARCH("石像鬼",N935)),ISNUMBER(SEARCH("恶灵骑士",N935)),ISNUMBER(SEARCH("黑蝙蝠",N935)),ISNUMBER(SEARCH("血月使徒",N935))),"werewolves","villagers"))</f>
      </c>
      <c r="P935" s="0" t="inlineStr">
        <is>
          <t xml:space="preserve"/>
        </is>
      </c>
      <c r="Q935" s="0">
        <f>IF(P935="","",IF(ROUND(P935,2)=5,"win","loss"))</f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>
        <f>IF(C936="","",IFERROR(LOOKUP(2,1/(($C$2:$C$1001=C936)*($Q$2:$Q$1001="win")),$O$2:$O$1001),""))</f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>
        <f>IF(N936="","",IF(OR(ISNUMBER(SEARCH("狼",N936)),ISNUMBER(SEARCH("石像鬼",N936)),ISNUMBER(SEARCH("恶灵骑士",N936)),ISNUMBER(SEARCH("黑蝙蝠",N936)),ISNUMBER(SEARCH("血月使徒",N936))),"werewolves","villagers"))</f>
      </c>
      <c r="P936" s="0" t="inlineStr">
        <is>
          <t xml:space="preserve"/>
        </is>
      </c>
      <c r="Q936" s="0">
        <f>IF(P936="","",IF(ROUND(P936,2)=5,"win","loss"))</f>
      </c>
      <c r="R936" s="0" t="inlineStr">
        <is>
          <t xml:space="preserve"/>
        </is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>
        <f>IF(C937="","",IFERROR(LOOKUP(2,1/(($C$2:$C$1001=C937)*($Q$2:$Q$1001="win")),$O$2:$O$1001),""))</f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>
        <f>IF(N937="","",IF(OR(ISNUMBER(SEARCH("狼",N937)),ISNUMBER(SEARCH("石像鬼",N937)),ISNUMBER(SEARCH("恶灵骑士",N937)),ISNUMBER(SEARCH("黑蝙蝠",N937)),ISNUMBER(SEARCH("血月使徒",N937))),"werewolves","villagers"))</f>
      </c>
      <c r="P937" s="0" t="inlineStr">
        <is>
          <t xml:space="preserve"/>
        </is>
      </c>
      <c r="Q937" s="0">
        <f>IF(P937="","",IF(ROUND(P937,2)=5,"win","loss"))</f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>
        <f>IF(C938="","",IFERROR(LOOKUP(2,1/(($C$2:$C$1001=C938)*($Q$2:$Q$1001="win")),$O$2:$O$1001),""))</f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>
        <f>IF(N938="","",IF(OR(ISNUMBER(SEARCH("狼",N938)),ISNUMBER(SEARCH("石像鬼",N938)),ISNUMBER(SEARCH("恶灵骑士",N938)),ISNUMBER(SEARCH("黑蝙蝠",N938)),ISNUMBER(SEARCH("血月使徒",N938))),"werewolves","villagers"))</f>
      </c>
      <c r="P938" s="0" t="inlineStr">
        <is>
          <t xml:space="preserve"/>
        </is>
      </c>
      <c r="Q938" s="0">
        <f>IF(P938="","",IF(ROUND(P938,2)=5,"win","loss"))</f>
      </c>
      <c r="R938" s="0" t="inlineStr">
        <is>
          <t xml:space="preserve"/>
        </is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>
        <f>IF(C939="","",IFERROR(LOOKUP(2,1/(($C$2:$C$1001=C939)*($Q$2:$Q$1001="win")),$O$2:$O$1001),""))</f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>
        <f>IF(N939="","",IF(OR(ISNUMBER(SEARCH("狼",N939)),ISNUMBER(SEARCH("石像鬼",N939)),ISNUMBER(SEARCH("恶灵骑士",N939)),ISNUMBER(SEARCH("黑蝙蝠",N939)),ISNUMBER(SEARCH("血月使徒",N939))),"werewolves","villagers"))</f>
      </c>
      <c r="P939" s="0" t="inlineStr">
        <is>
          <t xml:space="preserve"/>
        </is>
      </c>
      <c r="Q939" s="0">
        <f>IF(P939="","",IF(ROUND(P939,2)=5,"win","loss"))</f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>
        <f>IF(C940="","",IFERROR(LOOKUP(2,1/(($C$2:$C$1001=C940)*($Q$2:$Q$1001="win")),$O$2:$O$1001),""))</f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>
        <f>IF(N940="","",IF(OR(ISNUMBER(SEARCH("狼",N940)),ISNUMBER(SEARCH("石像鬼",N940)),ISNUMBER(SEARCH("恶灵骑士",N940)),ISNUMBER(SEARCH("黑蝙蝠",N940)),ISNUMBER(SEARCH("血月使徒",N940))),"werewolves","villagers"))</f>
      </c>
      <c r="P940" s="0" t="inlineStr">
        <is>
          <t xml:space="preserve"/>
        </is>
      </c>
      <c r="Q940" s="0">
        <f>IF(P940="","",IF(ROUND(P940,2)=5,"win","loss"))</f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>
        <f>IF(C941="","",IFERROR(LOOKUP(2,1/(($C$2:$C$1001=C941)*($Q$2:$Q$1001="win")),$O$2:$O$1001),""))</f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>
        <f>IF(N941="","",IF(OR(ISNUMBER(SEARCH("狼",N941)),ISNUMBER(SEARCH("石像鬼",N941)),ISNUMBER(SEARCH("恶灵骑士",N941)),ISNUMBER(SEARCH("黑蝙蝠",N941)),ISNUMBER(SEARCH("血月使徒",N941))),"werewolves","villagers"))</f>
      </c>
      <c r="P941" s="0" t="inlineStr">
        <is>
          <t xml:space="preserve"/>
        </is>
      </c>
      <c r="Q941" s="0">
        <f>IF(P941="","",IF(ROUND(P941,2)=5,"win","loss"))</f>
      </c>
      <c r="R941" s="0" t="inlineStr">
        <is>
          <t xml:space="preserve"/>
        </is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>
        <f>IF(C942="","",IFERROR(LOOKUP(2,1/(($C$2:$C$1001=C942)*($Q$2:$Q$1001="win")),$O$2:$O$1001),""))</f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>
        <f>IF(N942="","",IF(OR(ISNUMBER(SEARCH("狼",N942)),ISNUMBER(SEARCH("石像鬼",N942)),ISNUMBER(SEARCH("恶灵骑士",N942)),ISNUMBER(SEARCH("黑蝙蝠",N942)),ISNUMBER(SEARCH("血月使徒",N942))),"werewolves","villagers"))</f>
      </c>
      <c r="P942" s="0" t="inlineStr">
        <is>
          <t xml:space="preserve"/>
        </is>
      </c>
      <c r="Q942" s="0">
        <f>IF(P942="","",IF(ROUND(P942,2)=5,"win","loss"))</f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>
        <f>IF(C943="","",IFERROR(LOOKUP(2,1/(($C$2:$C$1001=C943)*($Q$2:$Q$1001="win")),$O$2:$O$1001),""))</f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>
        <f>IF(N943="","",IF(OR(ISNUMBER(SEARCH("狼",N943)),ISNUMBER(SEARCH("石像鬼",N943)),ISNUMBER(SEARCH("恶灵骑士",N943)),ISNUMBER(SEARCH("黑蝙蝠",N943)),ISNUMBER(SEARCH("血月使徒",N943))),"werewolves","villagers"))</f>
      </c>
      <c r="P943" s="0" t="inlineStr">
        <is>
          <t xml:space="preserve"/>
        </is>
      </c>
      <c r="Q943" s="0">
        <f>IF(P943="","",IF(ROUND(P943,2)=5,"win","loss"))</f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>
        <f>IF(C944="","",IFERROR(LOOKUP(2,1/(($C$2:$C$1001=C944)*($Q$2:$Q$1001="win")),$O$2:$O$1001),""))</f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>
        <f>IF(N944="","",IF(OR(ISNUMBER(SEARCH("狼",N944)),ISNUMBER(SEARCH("石像鬼",N944)),ISNUMBER(SEARCH("恶灵骑士",N944)),ISNUMBER(SEARCH("黑蝙蝠",N944)),ISNUMBER(SEARCH("血月使徒",N944))),"werewolves","villagers"))</f>
      </c>
      <c r="P944" s="0" t="inlineStr">
        <is>
          <t xml:space="preserve"/>
        </is>
      </c>
      <c r="Q944" s="0">
        <f>IF(P944="","",IF(ROUND(P944,2)=5,"win","loss"))</f>
      </c>
      <c r="R944" s="0" t="inlineStr">
        <is>
          <t xml:space="preserve"/>
        </is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>
        <f>IF(C945="","",IFERROR(LOOKUP(2,1/(($C$2:$C$1001=C945)*($Q$2:$Q$1001="win")),$O$2:$O$1001),""))</f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>
        <f>IF(N945="","",IF(OR(ISNUMBER(SEARCH("狼",N945)),ISNUMBER(SEARCH("石像鬼",N945)),ISNUMBER(SEARCH("恶灵骑士",N945)),ISNUMBER(SEARCH("黑蝙蝠",N945)),ISNUMBER(SEARCH("血月使徒",N945))),"werewolves","villagers"))</f>
      </c>
      <c r="P945" s="0" t="inlineStr">
        <is>
          <t xml:space="preserve"/>
        </is>
      </c>
      <c r="Q945" s="0">
        <f>IF(P945="","",IF(ROUND(P945,2)=5,"win","loss"))</f>
      </c>
      <c r="R945" s="0" t="inlineStr">
        <is>
          <t xml:space="preserve"/>
        </is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>
        <f>IF(C946="","",IFERROR(LOOKUP(2,1/(($C$2:$C$1001=C946)*($Q$2:$Q$1001="win")),$O$2:$O$1001),""))</f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>
        <f>IF(N946="","",IF(OR(ISNUMBER(SEARCH("狼",N946)),ISNUMBER(SEARCH("石像鬼",N946)),ISNUMBER(SEARCH("恶灵骑士",N946)),ISNUMBER(SEARCH("黑蝙蝠",N946)),ISNUMBER(SEARCH("血月使徒",N946))),"werewolves","villagers"))</f>
      </c>
      <c r="P946" s="0" t="inlineStr">
        <is>
          <t xml:space="preserve"/>
        </is>
      </c>
      <c r="Q946" s="0">
        <f>IF(P946="","",IF(ROUND(P946,2)=5,"win","loss"))</f>
      </c>
      <c r="R946" s="0" t="inlineStr">
        <is>
          <t xml:space="preserve"/>
        </is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>
        <f>IF(C947="","",IFERROR(LOOKUP(2,1/(($C$2:$C$1001=C947)*($Q$2:$Q$1001="win")),$O$2:$O$1001),""))</f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>
        <f>IF(N947="","",IF(OR(ISNUMBER(SEARCH("狼",N947)),ISNUMBER(SEARCH("石像鬼",N947)),ISNUMBER(SEARCH("恶灵骑士",N947)),ISNUMBER(SEARCH("黑蝙蝠",N947)),ISNUMBER(SEARCH("血月使徒",N947))),"werewolves","villagers"))</f>
      </c>
      <c r="P947" s="0" t="inlineStr">
        <is>
          <t xml:space="preserve"/>
        </is>
      </c>
      <c r="Q947" s="0">
        <f>IF(P947="","",IF(ROUND(P947,2)=5,"win","loss"))</f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>
        <f>IF(C948="","",IFERROR(LOOKUP(2,1/(($C$2:$C$1001=C948)*($Q$2:$Q$1001="win")),$O$2:$O$1001),""))</f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>
        <f>IF(N948="","",IF(OR(ISNUMBER(SEARCH("狼",N948)),ISNUMBER(SEARCH("石像鬼",N948)),ISNUMBER(SEARCH("恶灵骑士",N948)),ISNUMBER(SEARCH("黑蝙蝠",N948)),ISNUMBER(SEARCH("血月使徒",N948))),"werewolves","villagers"))</f>
      </c>
      <c r="P948" s="0" t="inlineStr">
        <is>
          <t xml:space="preserve"/>
        </is>
      </c>
      <c r="Q948" s="0">
        <f>IF(P948="","",IF(ROUND(P948,2)=5,"win","loss"))</f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>
        <f>IF(C949="","",IFERROR(LOOKUP(2,1/(($C$2:$C$1001=C949)*($Q$2:$Q$1001="win")),$O$2:$O$1001),""))</f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>
        <f>IF(N949="","",IF(OR(ISNUMBER(SEARCH("狼",N949)),ISNUMBER(SEARCH("石像鬼",N949)),ISNUMBER(SEARCH("恶灵骑士",N949)),ISNUMBER(SEARCH("黑蝙蝠",N949)),ISNUMBER(SEARCH("血月使徒",N949))),"werewolves","villagers"))</f>
      </c>
      <c r="P949" s="0" t="inlineStr">
        <is>
          <t xml:space="preserve"/>
        </is>
      </c>
      <c r="Q949" s="0">
        <f>IF(P949="","",IF(ROUND(P949,2)=5,"win","loss"))</f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>
        <f>IF(C950="","",IFERROR(LOOKUP(2,1/(($C$2:$C$1001=C950)*($Q$2:$Q$1001="win")),$O$2:$O$1001),""))</f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>
        <f>IF(N950="","",IF(OR(ISNUMBER(SEARCH("狼",N950)),ISNUMBER(SEARCH("石像鬼",N950)),ISNUMBER(SEARCH("恶灵骑士",N950)),ISNUMBER(SEARCH("黑蝙蝠",N950)),ISNUMBER(SEARCH("血月使徒",N950))),"werewolves","villagers"))</f>
      </c>
      <c r="P950" s="0" t="inlineStr">
        <is>
          <t xml:space="preserve"/>
        </is>
      </c>
      <c r="Q950" s="0">
        <f>IF(P950="","",IF(ROUND(P950,2)=5,"win","loss"))</f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>
        <f>IF(C951="","",IFERROR(LOOKUP(2,1/(($C$2:$C$1001=C951)*($Q$2:$Q$1001="win")),$O$2:$O$1001),""))</f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>
        <f>IF(N951="","",IF(OR(ISNUMBER(SEARCH("狼",N951)),ISNUMBER(SEARCH("石像鬼",N951)),ISNUMBER(SEARCH("恶灵骑士",N951)),ISNUMBER(SEARCH("黑蝙蝠",N951)),ISNUMBER(SEARCH("血月使徒",N951))),"werewolves","villagers"))</f>
      </c>
      <c r="P951" s="0" t="inlineStr">
        <is>
          <t xml:space="preserve"/>
        </is>
      </c>
      <c r="Q951" s="0">
        <f>IF(P951="","",IF(ROUND(P951,2)=5,"win","loss"))</f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>
        <f>IF(C952="","",IFERROR(LOOKUP(2,1/(($C$2:$C$1001=C952)*($Q$2:$Q$1001="win")),$O$2:$O$1001),""))</f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>
        <f>IF(N952="","",IF(OR(ISNUMBER(SEARCH("狼",N952)),ISNUMBER(SEARCH("石像鬼",N952)),ISNUMBER(SEARCH("恶灵骑士",N952)),ISNUMBER(SEARCH("黑蝙蝠",N952)),ISNUMBER(SEARCH("血月使徒",N952))),"werewolves","villagers"))</f>
      </c>
      <c r="P952" s="0" t="inlineStr">
        <is>
          <t xml:space="preserve"/>
        </is>
      </c>
      <c r="Q952" s="0">
        <f>IF(P952="","",IF(ROUND(P952,2)=5,"win","loss"))</f>
      </c>
      <c r="R952" s="0" t="inlineStr">
        <is>
          <t xml:space="preserve"/>
        </is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>
        <f>IF(C953="","",IFERROR(LOOKUP(2,1/(($C$2:$C$1001=C953)*($Q$2:$Q$1001="win")),$O$2:$O$1001),""))</f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>
        <f>IF(N953="","",IF(OR(ISNUMBER(SEARCH("狼",N953)),ISNUMBER(SEARCH("石像鬼",N953)),ISNUMBER(SEARCH("恶灵骑士",N953)),ISNUMBER(SEARCH("黑蝙蝠",N953)),ISNUMBER(SEARCH("血月使徒",N953))),"werewolves","villagers"))</f>
      </c>
      <c r="P953" s="0" t="inlineStr">
        <is>
          <t xml:space="preserve"/>
        </is>
      </c>
      <c r="Q953" s="0">
        <f>IF(P953="","",IF(ROUND(P953,2)=5,"win","loss"))</f>
      </c>
      <c r="R953" s="0" t="inlineStr">
        <is>
          <t xml:space="preserve"/>
        </is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>
        <f>IF(C954="","",IFERROR(LOOKUP(2,1/(($C$2:$C$1001=C954)*($Q$2:$Q$1001="win")),$O$2:$O$1001),""))</f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>
        <f>IF(N954="","",IF(OR(ISNUMBER(SEARCH("狼",N954)),ISNUMBER(SEARCH("石像鬼",N954)),ISNUMBER(SEARCH("恶灵骑士",N954)),ISNUMBER(SEARCH("黑蝙蝠",N954)),ISNUMBER(SEARCH("血月使徒",N954))),"werewolves","villagers"))</f>
      </c>
      <c r="P954" s="0" t="inlineStr">
        <is>
          <t xml:space="preserve"/>
        </is>
      </c>
      <c r="Q954" s="0">
        <f>IF(P954="","",IF(ROUND(P954,2)=5,"win","loss"))</f>
      </c>
      <c r="R954" s="0" t="inlineStr">
        <is>
          <t xml:space="preserve"/>
        </is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>
        <f>IF(C955="","",IFERROR(LOOKUP(2,1/(($C$2:$C$1001=C955)*($Q$2:$Q$1001="win")),$O$2:$O$1001),""))</f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>
        <f>IF(N955="","",IF(OR(ISNUMBER(SEARCH("狼",N955)),ISNUMBER(SEARCH("石像鬼",N955)),ISNUMBER(SEARCH("恶灵骑士",N955)),ISNUMBER(SEARCH("黑蝙蝠",N955)),ISNUMBER(SEARCH("血月使徒",N955))),"werewolves","villagers"))</f>
      </c>
      <c r="P955" s="0" t="inlineStr">
        <is>
          <t xml:space="preserve"/>
        </is>
      </c>
      <c r="Q955" s="0">
        <f>IF(P955="","",IF(ROUND(P955,2)=5,"win","loss"))</f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>
        <f>IF(C956="","",IFERROR(LOOKUP(2,1/(($C$2:$C$1001=C956)*($Q$2:$Q$1001="win")),$O$2:$O$1001),""))</f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>
        <f>IF(N956="","",IF(OR(ISNUMBER(SEARCH("狼",N956)),ISNUMBER(SEARCH("石像鬼",N956)),ISNUMBER(SEARCH("恶灵骑士",N956)),ISNUMBER(SEARCH("黑蝙蝠",N956)),ISNUMBER(SEARCH("血月使徒",N956))),"werewolves","villagers"))</f>
      </c>
      <c r="P956" s="0" t="inlineStr">
        <is>
          <t xml:space="preserve"/>
        </is>
      </c>
      <c r="Q956" s="0">
        <f>IF(P956="","",IF(ROUND(P956,2)=5,"win","loss"))</f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>
        <f>IF(C957="","",IFERROR(LOOKUP(2,1/(($C$2:$C$1001=C957)*($Q$2:$Q$1001="win")),$O$2:$O$1001),""))</f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>
        <f>IF(N957="","",IF(OR(ISNUMBER(SEARCH("狼",N957)),ISNUMBER(SEARCH("石像鬼",N957)),ISNUMBER(SEARCH("恶灵骑士",N957)),ISNUMBER(SEARCH("黑蝙蝠",N957)),ISNUMBER(SEARCH("血月使徒",N957))),"werewolves","villagers"))</f>
      </c>
      <c r="P957" s="0" t="inlineStr">
        <is>
          <t xml:space="preserve"/>
        </is>
      </c>
      <c r="Q957" s="0">
        <f>IF(P957="","",IF(ROUND(P957,2)=5,"win","loss"))</f>
      </c>
      <c r="R957" s="0" t="inlineStr">
        <is>
          <t xml:space="preserve"/>
        </is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>
        <f>IF(C958="","",IFERROR(LOOKUP(2,1/(($C$2:$C$1001=C958)*($Q$2:$Q$1001="win")),$O$2:$O$1001),""))</f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>
        <f>IF(N958="","",IF(OR(ISNUMBER(SEARCH("狼",N958)),ISNUMBER(SEARCH("石像鬼",N958)),ISNUMBER(SEARCH("恶灵骑士",N958)),ISNUMBER(SEARCH("黑蝙蝠",N958)),ISNUMBER(SEARCH("血月使徒",N958))),"werewolves","villagers"))</f>
      </c>
      <c r="P958" s="0" t="inlineStr">
        <is>
          <t xml:space="preserve"/>
        </is>
      </c>
      <c r="Q958" s="0">
        <f>IF(P958="","",IF(ROUND(P958,2)=5,"win","loss"))</f>
      </c>
      <c r="R958" s="0" t="inlineStr">
        <is>
          <t xml:space="preserve"/>
        </is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>
        <f>IF(C959="","",IFERROR(LOOKUP(2,1/(($C$2:$C$1001=C959)*($Q$2:$Q$1001="win")),$O$2:$O$1001),""))</f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>
        <f>IF(N959="","",IF(OR(ISNUMBER(SEARCH("狼",N959)),ISNUMBER(SEARCH("石像鬼",N959)),ISNUMBER(SEARCH("恶灵骑士",N959)),ISNUMBER(SEARCH("黑蝙蝠",N959)),ISNUMBER(SEARCH("血月使徒",N959))),"werewolves","villagers"))</f>
      </c>
      <c r="P959" s="0" t="inlineStr">
        <is>
          <t xml:space="preserve"/>
        </is>
      </c>
      <c r="Q959" s="0">
        <f>IF(P959="","",IF(ROUND(P959,2)=5,"win","loss"))</f>
      </c>
      <c r="R959" s="0" t="inlineStr">
        <is>
          <t xml:space="preserve"/>
        </is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>
        <f>IF(C960="","",IFERROR(LOOKUP(2,1/(($C$2:$C$1001=C960)*($Q$2:$Q$1001="win")),$O$2:$O$1001),""))</f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>
        <f>IF(N960="","",IF(OR(ISNUMBER(SEARCH("狼",N960)),ISNUMBER(SEARCH("石像鬼",N960)),ISNUMBER(SEARCH("恶灵骑士",N960)),ISNUMBER(SEARCH("黑蝙蝠",N960)),ISNUMBER(SEARCH("血月使徒",N960))),"werewolves","villagers"))</f>
      </c>
      <c r="P960" s="0" t="inlineStr">
        <is>
          <t xml:space="preserve"/>
        </is>
      </c>
      <c r="Q960" s="0">
        <f>IF(P960="","",IF(ROUND(P960,2)=5,"win","loss"))</f>
      </c>
      <c r="R960" s="0" t="inlineStr">
        <is>
          <t xml:space="preserve"/>
        </is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>
        <f>IF(C961="","",IFERROR(LOOKUP(2,1/(($C$2:$C$1001=C961)*($Q$2:$Q$1001="win")),$O$2:$O$1001),""))</f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>
        <f>IF(N961="","",IF(OR(ISNUMBER(SEARCH("狼",N961)),ISNUMBER(SEARCH("石像鬼",N961)),ISNUMBER(SEARCH("恶灵骑士",N961)),ISNUMBER(SEARCH("黑蝙蝠",N961)),ISNUMBER(SEARCH("血月使徒",N961))),"werewolves","villagers"))</f>
      </c>
      <c r="P961" s="0" t="inlineStr">
        <is>
          <t xml:space="preserve"/>
        </is>
      </c>
      <c r="Q961" s="0">
        <f>IF(P961="","",IF(ROUND(P961,2)=5,"win","loss"))</f>
      </c>
      <c r="R961" s="0" t="inlineStr">
        <is>
          <t xml:space="preserve"/>
        </is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>
        <f>IF(C962="","",IFERROR(LOOKUP(2,1/(($C$2:$C$1001=C962)*($Q$2:$Q$1001="win")),$O$2:$O$1001),""))</f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>
        <f>IF(N962="","",IF(OR(ISNUMBER(SEARCH("狼",N962)),ISNUMBER(SEARCH("石像鬼",N962)),ISNUMBER(SEARCH("恶灵骑士",N962)),ISNUMBER(SEARCH("黑蝙蝠",N962)),ISNUMBER(SEARCH("血月使徒",N962))),"werewolves","villagers"))</f>
      </c>
      <c r="P962" s="0" t="inlineStr">
        <is>
          <t xml:space="preserve"/>
        </is>
      </c>
      <c r="Q962" s="0">
        <f>IF(P962="","",IF(ROUND(P962,2)=5,"win","loss"))</f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>
        <f>IF(C963="","",IFERROR(LOOKUP(2,1/(($C$2:$C$1001=C963)*($Q$2:$Q$1001="win")),$O$2:$O$1001),""))</f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>
        <f>IF(N963="","",IF(OR(ISNUMBER(SEARCH("狼",N963)),ISNUMBER(SEARCH("石像鬼",N963)),ISNUMBER(SEARCH("恶灵骑士",N963)),ISNUMBER(SEARCH("黑蝙蝠",N963)),ISNUMBER(SEARCH("血月使徒",N963))),"werewolves","villagers"))</f>
      </c>
      <c r="P963" s="0" t="inlineStr">
        <is>
          <t xml:space="preserve"/>
        </is>
      </c>
      <c r="Q963" s="0">
        <f>IF(P963="","",IF(ROUND(P963,2)=5,"win","loss"))</f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>
        <f>IF(C964="","",IFERROR(LOOKUP(2,1/(($C$2:$C$1001=C964)*($Q$2:$Q$1001="win")),$O$2:$O$1001),""))</f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>
        <f>IF(N964="","",IF(OR(ISNUMBER(SEARCH("狼",N964)),ISNUMBER(SEARCH("石像鬼",N964)),ISNUMBER(SEARCH("恶灵骑士",N964)),ISNUMBER(SEARCH("黑蝙蝠",N964)),ISNUMBER(SEARCH("血月使徒",N964))),"werewolves","villagers"))</f>
      </c>
      <c r="P964" s="0" t="inlineStr">
        <is>
          <t xml:space="preserve"/>
        </is>
      </c>
      <c r="Q964" s="0">
        <f>IF(P964="","",IF(ROUND(P964,2)=5,"win","loss"))</f>
      </c>
      <c r="R964" s="0" t="inlineStr">
        <is>
          <t xml:space="preserve"/>
        </is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>
        <f>IF(C965="","",IFERROR(LOOKUP(2,1/(($C$2:$C$1001=C965)*($Q$2:$Q$1001="win")),$O$2:$O$1001),""))</f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>
        <f>IF(N965="","",IF(OR(ISNUMBER(SEARCH("狼",N965)),ISNUMBER(SEARCH("石像鬼",N965)),ISNUMBER(SEARCH("恶灵骑士",N965)),ISNUMBER(SEARCH("黑蝙蝠",N965)),ISNUMBER(SEARCH("血月使徒",N965))),"werewolves","villagers"))</f>
      </c>
      <c r="P965" s="0" t="inlineStr">
        <is>
          <t xml:space="preserve"/>
        </is>
      </c>
      <c r="Q965" s="0">
        <f>IF(P965="","",IF(ROUND(P965,2)=5,"win","loss"))</f>
      </c>
      <c r="R965" s="0" t="inlineStr">
        <is>
          <t xml:space="preserve"/>
        </is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>
        <f>IF(C966="","",IFERROR(LOOKUP(2,1/(($C$2:$C$1001=C966)*($Q$2:$Q$1001="win")),$O$2:$O$1001),""))</f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>
        <f>IF(N966="","",IF(OR(ISNUMBER(SEARCH("狼",N966)),ISNUMBER(SEARCH("石像鬼",N966)),ISNUMBER(SEARCH("恶灵骑士",N966)),ISNUMBER(SEARCH("黑蝙蝠",N966)),ISNUMBER(SEARCH("血月使徒",N966))),"werewolves","villagers"))</f>
      </c>
      <c r="P966" s="0" t="inlineStr">
        <is>
          <t xml:space="preserve"/>
        </is>
      </c>
      <c r="Q966" s="0">
        <f>IF(P966="","",IF(ROUND(P966,2)=5,"win","loss"))</f>
      </c>
      <c r="R966" s="0" t="inlineStr">
        <is>
          <t xml:space="preserve"/>
        </is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>
        <f>IF(C967="","",IFERROR(LOOKUP(2,1/(($C$2:$C$1001=C967)*($Q$2:$Q$1001="win")),$O$2:$O$1001),""))</f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>
        <f>IF(N967="","",IF(OR(ISNUMBER(SEARCH("狼",N967)),ISNUMBER(SEARCH("石像鬼",N967)),ISNUMBER(SEARCH("恶灵骑士",N967)),ISNUMBER(SEARCH("黑蝙蝠",N967)),ISNUMBER(SEARCH("血月使徒",N967))),"werewolves","villagers"))</f>
      </c>
      <c r="P967" s="0" t="inlineStr">
        <is>
          <t xml:space="preserve"/>
        </is>
      </c>
      <c r="Q967" s="0">
        <f>IF(P967="","",IF(ROUND(P967,2)=5,"win","loss"))</f>
      </c>
      <c r="R967" s="0" t="inlineStr">
        <is>
          <t xml:space="preserve"/>
        </is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>
        <f>IF(C968="","",IFERROR(LOOKUP(2,1/(($C$2:$C$1001=C968)*($Q$2:$Q$1001="win")),$O$2:$O$1001),""))</f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>
        <f>IF(N968="","",IF(OR(ISNUMBER(SEARCH("狼",N968)),ISNUMBER(SEARCH("石像鬼",N968)),ISNUMBER(SEARCH("恶灵骑士",N968)),ISNUMBER(SEARCH("黑蝙蝠",N968)),ISNUMBER(SEARCH("血月使徒",N968))),"werewolves","villagers"))</f>
      </c>
      <c r="P968" s="0" t="inlineStr">
        <is>
          <t xml:space="preserve"/>
        </is>
      </c>
      <c r="Q968" s="0">
        <f>IF(P968="","",IF(ROUND(P968,2)=5,"win","loss"))</f>
      </c>
      <c r="R968" s="0" t="inlineStr">
        <is>
          <t xml:space="preserve"/>
        </is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>
        <f>IF(C969="","",IFERROR(LOOKUP(2,1/(($C$2:$C$1001=C969)*($Q$2:$Q$1001="win")),$O$2:$O$1001),""))</f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>
        <f>IF(N969="","",IF(OR(ISNUMBER(SEARCH("狼",N969)),ISNUMBER(SEARCH("石像鬼",N969)),ISNUMBER(SEARCH("恶灵骑士",N969)),ISNUMBER(SEARCH("黑蝙蝠",N969)),ISNUMBER(SEARCH("血月使徒",N969))),"werewolves","villagers"))</f>
      </c>
      <c r="P969" s="0" t="inlineStr">
        <is>
          <t xml:space="preserve"/>
        </is>
      </c>
      <c r="Q969" s="0">
        <f>IF(P969="","",IF(ROUND(P969,2)=5,"win","loss"))</f>
      </c>
      <c r="R969" s="0" t="inlineStr">
        <is>
          <t xml:space="preserve"/>
        </is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>
        <f>IF(C970="","",IFERROR(LOOKUP(2,1/(($C$2:$C$1001=C970)*($Q$2:$Q$1001="win")),$O$2:$O$1001),""))</f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>
        <f>IF(N970="","",IF(OR(ISNUMBER(SEARCH("狼",N970)),ISNUMBER(SEARCH("石像鬼",N970)),ISNUMBER(SEARCH("恶灵骑士",N970)),ISNUMBER(SEARCH("黑蝙蝠",N970)),ISNUMBER(SEARCH("血月使徒",N970))),"werewolves","villagers"))</f>
      </c>
      <c r="P970" s="0" t="inlineStr">
        <is>
          <t xml:space="preserve"/>
        </is>
      </c>
      <c r="Q970" s="0">
        <f>IF(P970="","",IF(ROUND(P970,2)=5,"win","loss"))</f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>
        <f>IF(C971="","",IFERROR(LOOKUP(2,1/(($C$2:$C$1001=C971)*($Q$2:$Q$1001="win")),$O$2:$O$1001),""))</f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>
        <f>IF(N971="","",IF(OR(ISNUMBER(SEARCH("狼",N971)),ISNUMBER(SEARCH("石像鬼",N971)),ISNUMBER(SEARCH("恶灵骑士",N971)),ISNUMBER(SEARCH("黑蝙蝠",N971)),ISNUMBER(SEARCH("血月使徒",N971))),"werewolves","villagers"))</f>
      </c>
      <c r="P971" s="0" t="inlineStr">
        <is>
          <t xml:space="preserve"/>
        </is>
      </c>
      <c r="Q971" s="0">
        <f>IF(P971="","",IF(ROUND(P971,2)=5,"win","loss"))</f>
      </c>
      <c r="R971" s="0" t="inlineStr">
        <is>
          <t xml:space="preserve"/>
        </is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>
        <f>IF(C972="","",IFERROR(LOOKUP(2,1/(($C$2:$C$1001=C972)*($Q$2:$Q$1001="win")),$O$2:$O$1001),""))</f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>
        <f>IF(N972="","",IF(OR(ISNUMBER(SEARCH("狼",N972)),ISNUMBER(SEARCH("石像鬼",N972)),ISNUMBER(SEARCH("恶灵骑士",N972)),ISNUMBER(SEARCH("黑蝙蝠",N972)),ISNUMBER(SEARCH("血月使徒",N972))),"werewolves","villagers"))</f>
      </c>
      <c r="P972" s="0" t="inlineStr">
        <is>
          <t xml:space="preserve"/>
        </is>
      </c>
      <c r="Q972" s="0">
        <f>IF(P972="","",IF(ROUND(P972,2)=5,"win","loss"))</f>
      </c>
      <c r="R972" s="0" t="inlineStr">
        <is>
          <t xml:space="preserve"/>
        </is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>
        <f>IF(C973="","",IFERROR(LOOKUP(2,1/(($C$2:$C$1001=C973)*($Q$2:$Q$1001="win")),$O$2:$O$1001),""))</f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>
        <f>IF(N973="","",IF(OR(ISNUMBER(SEARCH("狼",N973)),ISNUMBER(SEARCH("石像鬼",N973)),ISNUMBER(SEARCH("恶灵骑士",N973)),ISNUMBER(SEARCH("黑蝙蝠",N973)),ISNUMBER(SEARCH("血月使徒",N973))),"werewolves","villagers"))</f>
      </c>
      <c r="P973" s="0" t="inlineStr">
        <is>
          <t xml:space="preserve"/>
        </is>
      </c>
      <c r="Q973" s="0">
        <f>IF(P973="","",IF(ROUND(P973,2)=5,"win","loss"))</f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>
        <f>IF(C974="","",IFERROR(LOOKUP(2,1/(($C$2:$C$1001=C974)*($Q$2:$Q$1001="win")),$O$2:$O$1001),""))</f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>
        <f>IF(N974="","",IF(OR(ISNUMBER(SEARCH("狼",N974)),ISNUMBER(SEARCH("石像鬼",N974)),ISNUMBER(SEARCH("恶灵骑士",N974)),ISNUMBER(SEARCH("黑蝙蝠",N974)),ISNUMBER(SEARCH("血月使徒",N974))),"werewolves","villagers"))</f>
      </c>
      <c r="P974" s="0" t="inlineStr">
        <is>
          <t xml:space="preserve"/>
        </is>
      </c>
      <c r="Q974" s="0">
        <f>IF(P974="","",IF(ROUND(P974,2)=5,"win","loss"))</f>
      </c>
      <c r="R974" s="0" t="inlineStr">
        <is>
          <t xml:space="preserve"/>
        </is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>
        <f>IF(C975="","",IFERROR(LOOKUP(2,1/(($C$2:$C$1001=C975)*($Q$2:$Q$1001="win")),$O$2:$O$1001),""))</f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>
        <f>IF(N975="","",IF(OR(ISNUMBER(SEARCH("狼",N975)),ISNUMBER(SEARCH("石像鬼",N975)),ISNUMBER(SEARCH("恶灵骑士",N975)),ISNUMBER(SEARCH("黑蝙蝠",N975)),ISNUMBER(SEARCH("血月使徒",N975))),"werewolves","villagers"))</f>
      </c>
      <c r="P975" s="0" t="inlineStr">
        <is>
          <t xml:space="preserve"/>
        </is>
      </c>
      <c r="Q975" s="0">
        <f>IF(P975="","",IF(ROUND(P975,2)=5,"win","loss"))</f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>
        <f>IF(C976="","",IFERROR(LOOKUP(2,1/(($C$2:$C$1001=C976)*($Q$2:$Q$1001="win")),$O$2:$O$1001),""))</f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>
        <f>IF(N976="","",IF(OR(ISNUMBER(SEARCH("狼",N976)),ISNUMBER(SEARCH("石像鬼",N976)),ISNUMBER(SEARCH("恶灵骑士",N976)),ISNUMBER(SEARCH("黑蝙蝠",N976)),ISNUMBER(SEARCH("血月使徒",N976))),"werewolves","villagers"))</f>
      </c>
      <c r="P976" s="0" t="inlineStr">
        <is>
          <t xml:space="preserve"/>
        </is>
      </c>
      <c r="Q976" s="0">
        <f>IF(P976="","",IF(ROUND(P976,2)=5,"win","loss"))</f>
      </c>
      <c r="R976" s="0" t="inlineStr">
        <is>
          <t xml:space="preserve"/>
        </is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>
        <f>IF(C977="","",IFERROR(LOOKUP(2,1/(($C$2:$C$1001=C977)*($Q$2:$Q$1001="win")),$O$2:$O$1001),""))</f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>
        <f>IF(N977="","",IF(OR(ISNUMBER(SEARCH("狼",N977)),ISNUMBER(SEARCH("石像鬼",N977)),ISNUMBER(SEARCH("恶灵骑士",N977)),ISNUMBER(SEARCH("黑蝙蝠",N977)),ISNUMBER(SEARCH("血月使徒",N977))),"werewolves","villagers"))</f>
      </c>
      <c r="P977" s="0" t="inlineStr">
        <is>
          <t xml:space="preserve"/>
        </is>
      </c>
      <c r="Q977" s="0">
        <f>IF(P977="","",IF(ROUND(P977,2)=5,"win","loss"))</f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>
        <f>IF(C978="","",IFERROR(LOOKUP(2,1/(($C$2:$C$1001=C978)*($Q$2:$Q$1001="win")),$O$2:$O$1001),""))</f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>
        <f>IF(N978="","",IF(OR(ISNUMBER(SEARCH("狼",N978)),ISNUMBER(SEARCH("石像鬼",N978)),ISNUMBER(SEARCH("恶灵骑士",N978)),ISNUMBER(SEARCH("黑蝙蝠",N978)),ISNUMBER(SEARCH("血月使徒",N978))),"werewolves","villagers"))</f>
      </c>
      <c r="P978" s="0" t="inlineStr">
        <is>
          <t xml:space="preserve"/>
        </is>
      </c>
      <c r="Q978" s="0">
        <f>IF(P978="","",IF(ROUND(P978,2)=5,"win","loss"))</f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>
        <f>IF(C979="","",IFERROR(LOOKUP(2,1/(($C$2:$C$1001=C979)*($Q$2:$Q$1001="win")),$O$2:$O$1001),""))</f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>
        <f>IF(N979="","",IF(OR(ISNUMBER(SEARCH("狼",N979)),ISNUMBER(SEARCH("石像鬼",N979)),ISNUMBER(SEARCH("恶灵骑士",N979)),ISNUMBER(SEARCH("黑蝙蝠",N979)),ISNUMBER(SEARCH("血月使徒",N979))),"werewolves","villagers"))</f>
      </c>
      <c r="P979" s="0" t="inlineStr">
        <is>
          <t xml:space="preserve"/>
        </is>
      </c>
      <c r="Q979" s="0">
        <f>IF(P979="","",IF(ROUND(P979,2)=5,"win","loss"))</f>
      </c>
      <c r="R979" s="0" t="inlineStr">
        <is>
          <t xml:space="preserve"/>
        </is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>
        <f>IF(C980="","",IFERROR(LOOKUP(2,1/(($C$2:$C$1001=C980)*($Q$2:$Q$1001="win")),$O$2:$O$1001),""))</f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>
        <f>IF(N980="","",IF(OR(ISNUMBER(SEARCH("狼",N980)),ISNUMBER(SEARCH("石像鬼",N980)),ISNUMBER(SEARCH("恶灵骑士",N980)),ISNUMBER(SEARCH("黑蝙蝠",N980)),ISNUMBER(SEARCH("血月使徒",N980))),"werewolves","villagers"))</f>
      </c>
      <c r="P980" s="0" t="inlineStr">
        <is>
          <t xml:space="preserve"/>
        </is>
      </c>
      <c r="Q980" s="0">
        <f>IF(P980="","",IF(ROUND(P980,2)=5,"win","loss"))</f>
      </c>
      <c r="R980" s="0" t="inlineStr">
        <is>
          <t xml:space="preserve"/>
        </is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>
        <f>IF(C981="","",IFERROR(LOOKUP(2,1/(($C$2:$C$1001=C981)*($Q$2:$Q$1001="win")),$O$2:$O$1001),""))</f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>
        <f>IF(N981="","",IF(OR(ISNUMBER(SEARCH("狼",N981)),ISNUMBER(SEARCH("石像鬼",N981)),ISNUMBER(SEARCH("恶灵骑士",N981)),ISNUMBER(SEARCH("黑蝙蝠",N981)),ISNUMBER(SEARCH("血月使徒",N981))),"werewolves","villagers"))</f>
      </c>
      <c r="P981" s="0" t="inlineStr">
        <is>
          <t xml:space="preserve"/>
        </is>
      </c>
      <c r="Q981" s="0">
        <f>IF(P981="","",IF(ROUND(P981,2)=5,"win","loss"))</f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>
        <f>IF(C982="","",IFERROR(LOOKUP(2,1/(($C$2:$C$1001=C982)*($Q$2:$Q$1001="win")),$O$2:$O$1001),""))</f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>
        <f>IF(N982="","",IF(OR(ISNUMBER(SEARCH("狼",N982)),ISNUMBER(SEARCH("石像鬼",N982)),ISNUMBER(SEARCH("恶灵骑士",N982)),ISNUMBER(SEARCH("黑蝙蝠",N982)),ISNUMBER(SEARCH("血月使徒",N982))),"werewolves","villagers"))</f>
      </c>
      <c r="P982" s="0" t="inlineStr">
        <is>
          <t xml:space="preserve"/>
        </is>
      </c>
      <c r="Q982" s="0">
        <f>IF(P982="","",IF(ROUND(P982,2)=5,"win","loss"))</f>
      </c>
      <c r="R982" s="0" t="inlineStr">
        <is>
          <t xml:space="preserve"/>
        </is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>
        <f>IF(C983="","",IFERROR(LOOKUP(2,1/(($C$2:$C$1001=C983)*($Q$2:$Q$1001="win")),$O$2:$O$1001),""))</f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>
        <f>IF(N983="","",IF(OR(ISNUMBER(SEARCH("狼",N983)),ISNUMBER(SEARCH("石像鬼",N983)),ISNUMBER(SEARCH("恶灵骑士",N983)),ISNUMBER(SEARCH("黑蝙蝠",N983)),ISNUMBER(SEARCH("血月使徒",N983))),"werewolves","villagers"))</f>
      </c>
      <c r="P983" s="0" t="inlineStr">
        <is>
          <t xml:space="preserve"/>
        </is>
      </c>
      <c r="Q983" s="0">
        <f>IF(P983="","",IF(ROUND(P983,2)=5,"win","loss"))</f>
      </c>
      <c r="R983" s="0" t="inlineStr">
        <is>
          <t xml:space="preserve"/>
        </is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>
        <f>IF(C984="","",IFERROR(LOOKUP(2,1/(($C$2:$C$1001=C984)*($Q$2:$Q$1001="win")),$O$2:$O$1001),""))</f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>
        <f>IF(N984="","",IF(OR(ISNUMBER(SEARCH("狼",N984)),ISNUMBER(SEARCH("石像鬼",N984)),ISNUMBER(SEARCH("恶灵骑士",N984)),ISNUMBER(SEARCH("黑蝙蝠",N984)),ISNUMBER(SEARCH("血月使徒",N984))),"werewolves","villagers"))</f>
      </c>
      <c r="P984" s="0" t="inlineStr">
        <is>
          <t xml:space="preserve"/>
        </is>
      </c>
      <c r="Q984" s="0">
        <f>IF(P984="","",IF(ROUND(P984,2)=5,"win","loss"))</f>
      </c>
      <c r="R984" s="0" t="inlineStr">
        <is>
          <t xml:space="preserve"/>
        </is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>
        <f>IF(C985="","",IFERROR(LOOKUP(2,1/(($C$2:$C$1001=C985)*($Q$2:$Q$1001="win")),$O$2:$O$1001),""))</f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>
        <f>IF(N985="","",IF(OR(ISNUMBER(SEARCH("狼",N985)),ISNUMBER(SEARCH("石像鬼",N985)),ISNUMBER(SEARCH("恶灵骑士",N985)),ISNUMBER(SEARCH("黑蝙蝠",N985)),ISNUMBER(SEARCH("血月使徒",N985))),"werewolves","villagers"))</f>
      </c>
      <c r="P985" s="0" t="inlineStr">
        <is>
          <t xml:space="preserve"/>
        </is>
      </c>
      <c r="Q985" s="0">
        <f>IF(P985="","",IF(ROUND(P985,2)=5,"win","loss"))</f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>
        <f>IF(C986="","",IFERROR(LOOKUP(2,1/(($C$2:$C$1001=C986)*($Q$2:$Q$1001="win")),$O$2:$O$1001),""))</f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>
        <f>IF(N986="","",IF(OR(ISNUMBER(SEARCH("狼",N986)),ISNUMBER(SEARCH("石像鬼",N986)),ISNUMBER(SEARCH("恶灵骑士",N986)),ISNUMBER(SEARCH("黑蝙蝠",N986)),ISNUMBER(SEARCH("血月使徒",N986))),"werewolves","villagers"))</f>
      </c>
      <c r="P986" s="0" t="inlineStr">
        <is>
          <t xml:space="preserve"/>
        </is>
      </c>
      <c r="Q986" s="0">
        <f>IF(P986="","",IF(ROUND(P986,2)=5,"win","loss"))</f>
      </c>
      <c r="R986" s="0" t="inlineStr">
        <is>
          <t xml:space="preserve"/>
        </is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>
        <f>IF(C987="","",IFERROR(LOOKUP(2,1/(($C$2:$C$1001=C987)*($Q$2:$Q$1001="win")),$O$2:$O$1001),""))</f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>
        <f>IF(N987="","",IF(OR(ISNUMBER(SEARCH("狼",N987)),ISNUMBER(SEARCH("石像鬼",N987)),ISNUMBER(SEARCH("恶灵骑士",N987)),ISNUMBER(SEARCH("黑蝙蝠",N987)),ISNUMBER(SEARCH("血月使徒",N987))),"werewolves","villagers"))</f>
      </c>
      <c r="P987" s="0" t="inlineStr">
        <is>
          <t xml:space="preserve"/>
        </is>
      </c>
      <c r="Q987" s="0">
        <f>IF(P987="","",IF(ROUND(P987,2)=5,"win","loss"))</f>
      </c>
      <c r="R987" s="0" t="inlineStr">
        <is>
          <t xml:space="preserve"/>
        </is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>
        <f>IF(C988="","",IFERROR(LOOKUP(2,1/(($C$2:$C$1001=C988)*($Q$2:$Q$1001="win")),$O$2:$O$1001),""))</f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>
        <f>IF(N988="","",IF(OR(ISNUMBER(SEARCH("狼",N988)),ISNUMBER(SEARCH("石像鬼",N988)),ISNUMBER(SEARCH("恶灵骑士",N988)),ISNUMBER(SEARCH("黑蝙蝠",N988)),ISNUMBER(SEARCH("血月使徒",N988))),"werewolves","villagers"))</f>
      </c>
      <c r="P988" s="0" t="inlineStr">
        <is>
          <t xml:space="preserve"/>
        </is>
      </c>
      <c r="Q988" s="0">
        <f>IF(P988="","",IF(ROUND(P988,2)=5,"win","loss"))</f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>
        <f>IF(C989="","",IFERROR(LOOKUP(2,1/(($C$2:$C$1001=C989)*($Q$2:$Q$1001="win")),$O$2:$O$1001),""))</f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>
        <f>IF(N989="","",IF(OR(ISNUMBER(SEARCH("狼",N989)),ISNUMBER(SEARCH("石像鬼",N989)),ISNUMBER(SEARCH("恶灵骑士",N989)),ISNUMBER(SEARCH("黑蝙蝠",N989)),ISNUMBER(SEARCH("血月使徒",N989))),"werewolves","villagers"))</f>
      </c>
      <c r="P989" s="0" t="inlineStr">
        <is>
          <t xml:space="preserve"/>
        </is>
      </c>
      <c r="Q989" s="0">
        <f>IF(P989="","",IF(ROUND(P989,2)=5,"win","loss"))</f>
      </c>
      <c r="R989" s="0" t="inlineStr">
        <is>
          <t xml:space="preserve"/>
        </is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>
        <f>IF(C990="","",IFERROR(LOOKUP(2,1/(($C$2:$C$1001=C990)*($Q$2:$Q$1001="win")),$O$2:$O$1001),""))</f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>
        <f>IF(N990="","",IF(OR(ISNUMBER(SEARCH("狼",N990)),ISNUMBER(SEARCH("石像鬼",N990)),ISNUMBER(SEARCH("恶灵骑士",N990)),ISNUMBER(SEARCH("黑蝙蝠",N990)),ISNUMBER(SEARCH("血月使徒",N990))),"werewolves","villagers"))</f>
      </c>
      <c r="P990" s="0" t="inlineStr">
        <is>
          <t xml:space="preserve"/>
        </is>
      </c>
      <c r="Q990" s="0">
        <f>IF(P990="","",IF(ROUND(P990,2)=5,"win","loss"))</f>
      </c>
      <c r="R990" s="0" t="inlineStr">
        <is>
          <t xml:space="preserve"/>
        </is>
      </c>
      <c r="S990" s="0" t="inlineStr">
        <is>
          <t xml:space="preserve"/>
        </is>
      </c>
      <c r="T990" s="0" t="inlineStr">
        <is>
          <t xml:space="preserve"/>
        </is>
      </c>
      <c r="U990" s="0" t="inlineStr">
        <is>
          <t xml:space="preserve"/>
        </is>
      </c>
      <c r="V990" s="0" t="inlineStr">
        <is>
          <t xml:space="preserve"/>
        </is>
      </c>
      <c r="W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>
        <f>IF(C991="","",IFERROR(LOOKUP(2,1/(($C$2:$C$1001=C991)*($Q$2:$Q$1001="win")),$O$2:$O$1001),""))</f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>
        <f>IF(N991="","",IF(OR(ISNUMBER(SEARCH("狼",N991)),ISNUMBER(SEARCH("石像鬼",N991)),ISNUMBER(SEARCH("恶灵骑士",N991)),ISNUMBER(SEARCH("黑蝙蝠",N991)),ISNUMBER(SEARCH("血月使徒",N991))),"werewolves","villagers"))</f>
      </c>
      <c r="P991" s="0" t="inlineStr">
        <is>
          <t xml:space="preserve"/>
        </is>
      </c>
      <c r="Q991" s="0">
        <f>IF(P991="","",IF(ROUND(P991,2)=5,"win","loss"))</f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>
        <f>IF(C992="","",IFERROR(LOOKUP(2,1/(($C$2:$C$1001=C992)*($Q$2:$Q$1001="win")),$O$2:$O$1001),""))</f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>
        <f>IF(N992="","",IF(OR(ISNUMBER(SEARCH("狼",N992)),ISNUMBER(SEARCH("石像鬼",N992)),ISNUMBER(SEARCH("恶灵骑士",N992)),ISNUMBER(SEARCH("黑蝙蝠",N992)),ISNUMBER(SEARCH("血月使徒",N992))),"werewolves","villagers"))</f>
      </c>
      <c r="P992" s="0" t="inlineStr">
        <is>
          <t xml:space="preserve"/>
        </is>
      </c>
      <c r="Q992" s="0">
        <f>IF(P992="","",IF(ROUND(P992,2)=5,"win","loss"))</f>
      </c>
      <c r="R992" s="0" t="inlineStr">
        <is>
          <t xml:space="preserve"/>
        </is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>
        <f>IF(C993="","",IFERROR(LOOKUP(2,1/(($C$2:$C$1001=C993)*($Q$2:$Q$1001="win")),$O$2:$O$1001),""))</f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>
        <f>IF(N993="","",IF(OR(ISNUMBER(SEARCH("狼",N993)),ISNUMBER(SEARCH("石像鬼",N993)),ISNUMBER(SEARCH("恶灵骑士",N993)),ISNUMBER(SEARCH("黑蝙蝠",N993)),ISNUMBER(SEARCH("血月使徒",N993))),"werewolves","villagers"))</f>
      </c>
      <c r="P993" s="0" t="inlineStr">
        <is>
          <t xml:space="preserve"/>
        </is>
      </c>
      <c r="Q993" s="0">
        <f>IF(P993="","",IF(ROUND(P993,2)=5,"win","loss"))</f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>
        <f>IF(C994="","",IFERROR(LOOKUP(2,1/(($C$2:$C$1001=C994)*($Q$2:$Q$1001="win")),$O$2:$O$1001),""))</f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>
        <f>IF(N994="","",IF(OR(ISNUMBER(SEARCH("狼",N994)),ISNUMBER(SEARCH("石像鬼",N994)),ISNUMBER(SEARCH("恶灵骑士",N994)),ISNUMBER(SEARCH("黑蝙蝠",N994)),ISNUMBER(SEARCH("血月使徒",N994))),"werewolves","villagers"))</f>
      </c>
      <c r="P994" s="0" t="inlineStr">
        <is>
          <t xml:space="preserve"/>
        </is>
      </c>
      <c r="Q994" s="0">
        <f>IF(P994="","",IF(ROUND(P994,2)=5,"win","loss"))</f>
      </c>
      <c r="R994" s="0" t="inlineStr">
        <is>
          <t xml:space="preserve"/>
        </is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>
        <f>IF(C995="","",IFERROR(LOOKUP(2,1/(($C$2:$C$1001=C995)*($Q$2:$Q$1001="win")),$O$2:$O$1001),""))</f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>
        <f>IF(N995="","",IF(OR(ISNUMBER(SEARCH("狼",N995)),ISNUMBER(SEARCH("石像鬼",N995)),ISNUMBER(SEARCH("恶灵骑士",N995)),ISNUMBER(SEARCH("黑蝙蝠",N995)),ISNUMBER(SEARCH("血月使徒",N995))),"werewolves","villagers"))</f>
      </c>
      <c r="P995" s="0" t="inlineStr">
        <is>
          <t xml:space="preserve"/>
        </is>
      </c>
      <c r="Q995" s="0">
        <f>IF(P995="","",IF(ROUND(P995,2)=5,"win","loss"))</f>
      </c>
      <c r="R995" s="0" t="inlineStr">
        <is>
          <t xml:space="preserve"/>
        </is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>
        <f>IF(C996="","",IFERROR(LOOKUP(2,1/(($C$2:$C$1001=C996)*($Q$2:$Q$1001="win")),$O$2:$O$1001),""))</f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>
        <f>IF(N996="","",IF(OR(ISNUMBER(SEARCH("狼",N996)),ISNUMBER(SEARCH("石像鬼",N996)),ISNUMBER(SEARCH("恶灵骑士",N996)),ISNUMBER(SEARCH("黑蝙蝠",N996)),ISNUMBER(SEARCH("血月使徒",N996))),"werewolves","villagers"))</f>
      </c>
      <c r="P996" s="0" t="inlineStr">
        <is>
          <t xml:space="preserve"/>
        </is>
      </c>
      <c r="Q996" s="0">
        <f>IF(P996="","",IF(ROUND(P996,2)=5,"win","loss"))</f>
      </c>
      <c r="R996" s="0" t="inlineStr">
        <is>
          <t xml:space="preserve"/>
        </is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>
        <f>IF(C997="","",IFERROR(LOOKUP(2,1/(($C$2:$C$1001=C997)*($Q$2:$Q$1001="win")),$O$2:$O$1001),""))</f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>
        <f>IF(N997="","",IF(OR(ISNUMBER(SEARCH("狼",N997)),ISNUMBER(SEARCH("石像鬼",N997)),ISNUMBER(SEARCH("恶灵骑士",N997)),ISNUMBER(SEARCH("黑蝙蝠",N997)),ISNUMBER(SEARCH("血月使徒",N997))),"werewolves","villagers"))</f>
      </c>
      <c r="P997" s="0" t="inlineStr">
        <is>
          <t xml:space="preserve"/>
        </is>
      </c>
      <c r="Q997" s="0">
        <f>IF(P997="","",IF(ROUND(P997,2)=5,"win","loss"))</f>
      </c>
      <c r="R997" s="0" t="inlineStr">
        <is>
          <t xml:space="preserve"/>
        </is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>
        <f>IF(C998="","",IFERROR(LOOKUP(2,1/(($C$2:$C$1001=C998)*($Q$2:$Q$1001="win")),$O$2:$O$1001),""))</f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>
        <f>IF(N998="","",IF(OR(ISNUMBER(SEARCH("狼",N998)),ISNUMBER(SEARCH("石像鬼",N998)),ISNUMBER(SEARCH("恶灵骑士",N998)),ISNUMBER(SEARCH("黑蝙蝠",N998)),ISNUMBER(SEARCH("血月使徒",N998))),"werewolves","villagers"))</f>
      </c>
      <c r="P998" s="0" t="inlineStr">
        <is>
          <t xml:space="preserve"/>
        </is>
      </c>
      <c r="Q998" s="0">
        <f>IF(P998="","",IF(ROUND(P998,2)=5,"win","loss"))</f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>
        <f>IF(C999="","",IFERROR(LOOKUP(2,1/(($C$2:$C$1001=C999)*($Q$2:$Q$1001="win")),$O$2:$O$1001),""))</f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>
        <f>IF(N999="","",IF(OR(ISNUMBER(SEARCH("狼",N999)),ISNUMBER(SEARCH("石像鬼",N999)),ISNUMBER(SEARCH("恶灵骑士",N999)),ISNUMBER(SEARCH("黑蝙蝠",N999)),ISNUMBER(SEARCH("血月使徒",N999))),"werewolves","villagers"))</f>
      </c>
      <c r="P999" s="0" t="inlineStr">
        <is>
          <t xml:space="preserve"/>
        </is>
      </c>
      <c r="Q999" s="0">
        <f>IF(P999="","",IF(ROUND(P999,2)=5,"win","loss"))</f>
      </c>
      <c r="R999" s="0" t="inlineStr">
        <is>
          <t xml:space="preserve"/>
        </is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>
        <f>IF(C1000="","",IFERROR(LOOKUP(2,1/(($C$2:$C$1001=C1000)*($Q$2:$Q$1001="win")),$O$2:$O$1001),""))</f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>
        <f>IF(N1000="","",IF(OR(ISNUMBER(SEARCH("狼",N1000)),ISNUMBER(SEARCH("石像鬼",N1000)),ISNUMBER(SEARCH("恶灵骑士",N1000)),ISNUMBER(SEARCH("黑蝙蝠",N1000)),ISNUMBER(SEARCH("血月使徒",N1000))),"werewolves","villagers"))</f>
      </c>
      <c r="P1000" s="0" t="inlineStr">
        <is>
          <t xml:space="preserve"/>
        </is>
      </c>
      <c r="Q1000" s="0">
        <f>IF(P1000="","",IF(ROUND(P1000,2)=5,"win","loss"))</f>
      </c>
      <c r="R1000" s="0" t="inlineStr">
        <is>
          <t xml:space="preserve"/>
        </is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>
        <f>IF(C1001="","",IFERROR(LOOKUP(2,1/(($C$2:$C$1001=C1001)*($Q$2:$Q$1001="win")),$O$2:$O$1001),""))</f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>
        <f>IF(N1001="","",IF(OR(ISNUMBER(SEARCH("狼",N1001)),ISNUMBER(SEARCH("石像鬼",N1001)),ISNUMBER(SEARCH("恶灵骑士",N1001)),ISNUMBER(SEARCH("黑蝙蝠",N1001)),ISNUMBER(SEARCH("血月使徒",N1001))),"werewolves","villagers"))</f>
      </c>
      <c r="P1001" s="0" t="inlineStr">
        <is>
          <t xml:space="preserve"/>
        </is>
      </c>
      <c r="Q1001" s="0">
        <f>IF(P1001="","",IF(ROUND(P1001,2)=5,"win","loss"))</f>
      </c>
      <c r="R1001" s="0" t="inlineStr">
        <is>
          <t xml:space="preserve"/>
        </is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</row>
  </sheetData>
</worksheet>
</file>
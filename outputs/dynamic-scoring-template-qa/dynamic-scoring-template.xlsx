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d58bc7624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f604413b98784a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6B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FFF8E7"/>
      </x:patternFill>
    </x:fill>
    <x:fill>
      <x:patternFill patternType="solid">
        <x:fgColor rgb="FFE8F5E9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3" borderId="2" xfId="0" applyNumberFormat="1" applyFont="1" applyFill="1" applyBorder="1"/>
    <x:xf numFmtId="200" fontId="0" fillId="3" borderId="5" xfId="0" applyNumberFormat="1" applyFont="1" applyFill="1" applyBorder="1"/>
    <x:xf numFmtId="200" fontId="0" fillId="3" borderId="8" xfId="0" applyNumberFormat="1" applyFont="1" applyFill="1" applyBorder="1"/>
    <x:xf numFmtId="200" fontId="0" fillId="4" borderId="2" xfId="0" applyNumberFormat="1" applyFont="1" applyFill="1" applyBorder="1"/>
    <x:xf numFmtId="200" fontId="0" fillId="4" borderId="5" xfId="0" applyNumberFormat="1" applyFont="1" applyFill="1" applyBorder="1"/>
    <x:xf numFmtId="200" fontId="0" fillId="4" borderId="8" xfId="0" applyNumberFormat="1" applyFont="1" applyFill="1" applyBorder="1"/>
    <x:xf numFmtId="200" fontId="2" fillId="4" borderId="2" xfId="0" applyNumberFormat="1" applyFont="1" applyFill="1" applyBorder="1"/>
    <x:xf numFmtId="200" fontId="2" fillId="4" borderId="5" xfId="0" applyNumberFormat="1" applyFont="1" applyFill="1" applyBorder="1"/>
    <x:xf numFmtId="200" fontId="2" fillId="4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da47b5123429b" /><Relationship Type="http://schemas.openxmlformats.org/officeDocument/2006/relationships/theme" Target="/xl/theme/theme1.xml" Id="R570c53428e7e45e5" /><Relationship Type="http://schemas.openxmlformats.org/officeDocument/2006/relationships/sharedStrings" Target="/xl/sharedStrings.xml" Id="R39a97b2ee0f542c7" /><Relationship Type="http://schemas.openxmlformats.org/officeDocument/2006/relationships/worksheet" Target="/xl/worksheets/sheet1.xml" Id="Rf604413b98784a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20" hidden="0" customWidth="1"/>
    <x:col min="5" max="5" width="3.7799999713897705" hidden="0" customWidth="1"/>
    <x:col min="6" max="6" width="5.440000057220459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9" hidden="0" customWidth="1"/>
    <x:col min="12" max="12" width="3.7799999713897705" hidden="0" customWidth="1"/>
    <x:col min="13" max="13" width="18" hidden="0" customWidth="1"/>
    <x:col min="14" max="14" width="18" hidden="0" customWidth="1"/>
    <x:col min="15" max="15" width="13" hidden="0" customWidth="1"/>
    <x:col min="16" max="16" width="10.4399995803833" hidden="0" customWidth="1"/>
    <x:col min="17" max="17" width="7.110000133514404" hidden="0" customWidth="1"/>
    <x:col min="18" max="18" width="11.779999732971191" hidden="0" customWidth="1"/>
    <x:col min="19" max="19" width="4" hidden="0" customWidth="1"/>
    <x:col min="20" max="20" width="3.559999942779541" hidden="0" customWidth="1"/>
    <x:col min="21" max="21" width="3.7799999713897705" hidden="0" customWidth="1"/>
    <x:col min="22" max="22" width="22" hidden="0" customWidth="1"/>
  </x:cols>
  <x:sheetData>
    <x:row r="1" ht="32" customHeight="1">
      <x:c r="A1" s="4" t="str">
        <x:v>座位号</x:v>
      </x:c>
      <x:c r="B1" s="4" t="str">
        <x:v>战队名</x:v>
      </x:c>
      <x:c r="C1" s="4" t="str">
        <x:v>选手</x:v>
      </x:c>
      <x:c r="D1" s="4" t="str">
        <x:v>局号</x:v>
      </x:c>
      <x:c r="E1" s="4" t="str">
        <x:v>分组</x:v>
      </x:c>
      <x:c r="F1" s="4" t="str">
        <x:v>身份</x:v>
      </x:c>
      <x:c r="G1" s="4" t="str">
        <x:v>胜负基础分</x:v>
      </x:c>
      <x:c r="H1" s="4" t="str">
        <x:v>发言表现分</x:v>
      </x:c>
      <x:c r="I1" s="4" t="str">
        <x:v>警徽流分</x:v>
      </x:c>
      <x:c r="J1" s="4" t="str">
        <x:v>单局积分</x:v>
      </x:c>
      <x:c r="K1" s="4" t="str">
        <x:v>阵营</x:v>
      </x:c>
      <x:c r="L1" s="4" t="str">
        <x:v>结果</x:v>
      </x:c>
      <x:c r="M1" s="4" t="str">
        <x:v>赛事名称</x:v>
      </x:c>
      <x:c r="N1" s="4" t="str">
        <x:v>赛季</x:v>
      </x:c>
      <x:c r="O1" s="4" t="str">
        <x:v>日期</x:v>
      </x:c>
      <x:c r="P1" s="4" t="str">
        <x:v>板型</x:v>
      </x:c>
      <x:c r="Q1" s="4" t="str">
        <x:v>胜利阵营</x:v>
      </x:c>
      <x:c r="R1" s="4" t="str">
        <x:v>积分模型</x:v>
      </x:c>
      <x:c r="S1" s="4" t="str">
        <x:v>MVP</x:v>
      </x:c>
      <x:c r="T1" s="4" t="str">
        <x:v>SVP</x:v>
      </x:c>
      <x:c r="U1" s="4" t="str">
        <x:v>背锅</x:v>
      </x:c>
      <x:c r="V1" s="4" t="str">
        <x:v>备注</x:v>
      </x:c>
    </x:row>
    <x:row r="2">
      <x:c r="A2" s="5" t="n">
        <x:v>1</x:v>
      </x:c>
      <x:c r="B2" s="6" t="str">
        <x:v>罗生门</x:v>
      </x:c>
      <x:c r="C2" s="6" t="str">
        <x:v>悟空</x:v>
      </x:c>
      <x:c r="D2" s="6" t="str">
        <x:v>gz-s-260410-01</x:v>
      </x:c>
      <x:c r="E2" s="6" t="str">
        <x:v>A组</x:v>
      </x:c>
      <x:c r="F2" s="6" t="str">
        <x:v>预言家</x:v>
      </x:c>
      <x:c r="G2" s="17" t="n">
        <x:v>5</x:v>
      </x:c>
      <x:c r="H2" s="17" t="n">
        <x:v>1.5</x:v>
      </x:c>
      <x:c r="I2" s="17" t="n">
        <x:v>0</x:v>
      </x:c>
      <x:c r="J2" s="23" t="n">
        <x:f>IF(D2="","",ROUND(SUM(G2:I2),2))</x:f>
        <x:v>6.5</x:v>
      </x:c>
      <x:c r="K2" s="6" t="str">
        <x:v>villagers</x:v>
      </x:c>
      <x:c r="L2" s="6" t="str">
        <x:v>win</x:v>
      </x:c>
      <x:c r="M2" s="6" t="str">
        <x:v>示例动态计分赛</x:v>
      </x:c>
      <x:c r="N2" s="6" t="str">
        <x:v>2026赛季</x:v>
      </x:c>
      <x:c r="O2" s="6" t="str">
        <x:v>2026-04-10</x:v>
      </x:c>
      <x:c r="P2" s="6" t="str">
        <x:v>经典十二人局</x:v>
      </x:c>
      <x:c r="Q2" s="6" t="str">
        <x:v>villagers</x:v>
      </x:c>
      <x:c r="R2" s="6" t="str">
        <x:v>jingcheng_daily</x:v>
      </x:c>
      <x:c r="S2" s="6" t="str">
        <x:v>是</x:v>
      </x:c>
      <x:c r="T2" s="6" t="str"/>
      <x:c r="U2" s="6" t="str"/>
      <x:c r="V2" s="7" t="str"/>
    </x:row>
    <x:row r="3">
      <x:c r="A3" s="8" t="n">
        <x:v>2</x:v>
      </x:c>
      <x:c r="B3" s="9" t="str">
        <x:v>颜杀</x:v>
      </x:c>
      <x:c r="C3" s="9" t="str">
        <x:v>宇白</x:v>
      </x:c>
      <x:c r="D3" s="9" t="str">
        <x:v>gz-s-260410-01</x:v>
      </x:c>
      <x:c r="E3" s="9" t="str">
        <x:v>A组</x:v>
      </x:c>
      <x:c r="F3" s="9" t="str">
        <x:v>女巫</x:v>
      </x:c>
      <x:c r="G3" s="18" t="n">
        <x:v>5</x:v>
      </x:c>
      <x:c r="H3" s="18" t="n">
        <x:v>0.5</x:v>
      </x:c>
      <x:c r="I3" s="18" t="n">
        <x:v>1</x:v>
      </x:c>
      <x:c r="J3" s="24" t="n">
        <x:f>IF(D3="","",ROUND(SUM(G3:I3),2))</x:f>
        <x:v>6.5</x:v>
      </x:c>
      <x:c r="K3" s="9" t="str">
        <x:v>villagers</x:v>
      </x:c>
      <x:c r="L3" s="9" t="str">
        <x:v>win</x:v>
      </x:c>
      <x:c r="M3" s="9" t="str">
        <x:v>示例动态计分赛</x:v>
      </x:c>
      <x:c r="N3" s="9" t="str">
        <x:v>2026赛季</x:v>
      </x:c>
      <x:c r="O3" s="9" t="str">
        <x:v>2026-04-10</x:v>
      </x:c>
      <x:c r="P3" s="9" t="str">
        <x:v>经典十二人局</x:v>
      </x:c>
      <x:c r="Q3" s="9" t="str">
        <x:v>villagers</x:v>
      </x:c>
      <x:c r="R3" s="9" t="str">
        <x:v>jingcheng_daily</x:v>
      </x:c>
      <x:c r="S3" s="9" t="str"/>
      <x:c r="T3" s="9" t="str">
        <x:v>是</x:v>
      </x:c>
      <x:c r="U3" s="9" t="str"/>
      <x:c r="V3" s="10" t="str"/>
    </x:row>
    <x:row r="4">
      <x:c r="A4" s="8" t="n">
        <x:v>3</x:v>
      </x:c>
      <x:c r="B4" s="9" t="str">
        <x:v>玛卡巴卡</x:v>
      </x:c>
      <x:c r="C4" s="9" t="str">
        <x:v>铁柱伦</x:v>
      </x:c>
      <x:c r="D4" s="9" t="str">
        <x:v>gz-s-260410-01</x:v>
      </x:c>
      <x:c r="E4" s="9" t="str">
        <x:v>A组</x:v>
      </x:c>
      <x:c r="F4" s="9" t="str">
        <x:v>狼人</x:v>
      </x:c>
      <x:c r="G4" s="18" t="n">
        <x:v>0</x:v>
      </x:c>
      <x:c r="H4" s="18" t="n">
        <x:v>0</x:v>
      </x:c>
      <x:c r="I4" s="18" t="n">
        <x:v>0</x:v>
      </x:c>
      <x:c r="J4" s="24" t="n">
        <x:f>IF(D4="","",ROUND(SUM(G4:I4),2))</x:f>
        <x:v>0</x:v>
      </x:c>
      <x:c r="K4" s="9" t="str">
        <x:v>werewolves</x:v>
      </x:c>
      <x:c r="L4" s="9" t="str">
        <x:v>loss</x:v>
      </x:c>
      <x:c r="M4" s="9" t="str">
        <x:v>示例动态计分赛</x:v>
      </x:c>
      <x:c r="N4" s="9" t="str">
        <x:v>2026赛季</x:v>
      </x:c>
      <x:c r="O4" s="9" t="str">
        <x:v>2026-04-10</x:v>
      </x:c>
      <x:c r="P4" s="9" t="str">
        <x:v>经典十二人局</x:v>
      </x:c>
      <x:c r="Q4" s="9" t="str">
        <x:v>villagers</x:v>
      </x:c>
      <x:c r="R4" s="9" t="str">
        <x:v>jingcheng_daily</x:v>
      </x:c>
      <x:c r="S4" s="9" t="str"/>
      <x:c r="T4" s="9" t="str"/>
      <x:c r="U4" s="9" t="str"/>
      <x:c r="V4" s="10" t="str"/>
    </x:row>
    <x:row r="5">
      <x:c r="A5" s="8"/>
      <x:c r="B5" s="9"/>
      <x:c r="C5" s="9"/>
      <x:c r="D5" s="9"/>
      <x:c r="E5" s="9"/>
      <x:c r="F5" s="9"/>
      <x:c r="G5" s="18"/>
      <x:c r="H5" s="18"/>
      <x:c r="I5" s="18"/>
      <x:c r="J5" s="24" t="str">
        <x:f>IF(D5="","",ROUND(SUM(G5:I5),2))</x:f>
      </x:c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10"/>
    </x:row>
    <x:row r="6">
      <x:c r="A6" s="8"/>
      <x:c r="B6" s="9"/>
      <x:c r="C6" s="9"/>
      <x:c r="D6" s="9"/>
      <x:c r="E6" s="9"/>
      <x:c r="F6" s="9"/>
      <x:c r="G6" s="18"/>
      <x:c r="H6" s="18"/>
      <x:c r="I6" s="18"/>
      <x:c r="J6" s="24" t="str">
        <x:f>IF(D6="","",ROUND(SUM(G6:I6),2))</x:f>
      </x:c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10"/>
    </x:row>
    <x:row r="7">
      <x:c r="A7" s="8"/>
      <x:c r="B7" s="9"/>
      <x:c r="C7" s="9"/>
      <x:c r="D7" s="9"/>
      <x:c r="E7" s="9"/>
      <x:c r="F7" s="9"/>
      <x:c r="G7" s="18"/>
      <x:c r="H7" s="18"/>
      <x:c r="I7" s="18"/>
      <x:c r="J7" s="24" t="str">
        <x:f>IF(D7="","",ROUND(SUM(G7:I7),2))</x:f>
      </x:c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10"/>
    </x:row>
    <x:row r="8">
      <x:c r="A8" s="8"/>
      <x:c r="B8" s="9"/>
      <x:c r="C8" s="9"/>
      <x:c r="D8" s="9"/>
      <x:c r="E8" s="9"/>
      <x:c r="F8" s="9"/>
      <x:c r="G8" s="18"/>
      <x:c r="H8" s="18"/>
      <x:c r="I8" s="18"/>
      <x:c r="J8" s="24" t="str">
        <x:f>IF(D8="","",ROUND(SUM(G8:I8),2))</x:f>
      </x:c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10"/>
    </x:row>
    <x:row r="9">
      <x:c r="A9" s="8"/>
      <x:c r="B9" s="9"/>
      <x:c r="C9" s="9"/>
      <x:c r="D9" s="9"/>
      <x:c r="E9" s="9"/>
      <x:c r="F9" s="9"/>
      <x:c r="G9" s="18"/>
      <x:c r="H9" s="18"/>
      <x:c r="I9" s="18"/>
      <x:c r="J9" s="24" t="str">
        <x:f>IF(D9="","",ROUND(SUM(G9:I9),2))</x:f>
      </x:c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10"/>
    </x:row>
    <x:row r="10">
      <x:c r="A10" s="8"/>
      <x:c r="B10" s="9"/>
      <x:c r="C10" s="9"/>
      <x:c r="D10" s="9"/>
      <x:c r="E10" s="9"/>
      <x:c r="F10" s="9"/>
      <x:c r="G10" s="18"/>
      <x:c r="H10" s="18"/>
      <x:c r="I10" s="18"/>
      <x:c r="J10" s="24" t="str">
        <x:f>IF(D10="","",ROUND(SUM(G10:I10),2))</x:f>
      </x:c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10"/>
    </x:row>
    <x:row r="11">
      <x:c r="A11" s="11"/>
      <x:c r="B11" s="12"/>
      <x:c r="C11" s="12"/>
      <x:c r="D11" s="12"/>
      <x:c r="E11" s="12"/>
      <x:c r="F11" s="12"/>
      <x:c r="G11" s="19"/>
      <x:c r="H11" s="19"/>
      <x:c r="I11" s="19"/>
      <x:c r="J11" s="25" t="str">
        <x:f>IF(D11="","",ROUND(SUM(G11:I11),2))</x:f>
      </x:c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3"/>
    </x:row>
  </x:sheetData>
  <x:pageMargins left="0.7" right="0.7" top="0.75" bottom="0.75" header="0.3" footer="0.3"/>
</x:worksheet>
</file>